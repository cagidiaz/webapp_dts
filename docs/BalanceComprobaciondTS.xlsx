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U:\BANCOS\"/>
    </mc:Choice>
  </mc:AlternateContent>
  <xr:revisionPtr revIDLastSave="0" documentId="13_ncr:1_{E3442C47-A8E3-4C4D-B907-0569CB537FC0}" xr6:coauthVersionLast="47" xr6:coauthVersionMax="47" xr10:uidLastSave="{00000000-0000-0000-0000-000000000000}"/>
  <workbookProtection workbookPassword="EED3" lockStructure="1"/>
  <bookViews>
    <workbookView xWindow="-108" yWindow="-108" windowWidth="23256" windowHeight="12456" tabRatio="848" activeTab="1" xr2:uid="{00000000-000D-0000-FFFF-FFFF00000000}"/>
  </bookViews>
  <sheets>
    <sheet name="INICIO" sheetId="38" r:id="rId1"/>
    <sheet name="DATOS" sheetId="75" r:id="rId2"/>
    <sheet name="Calc1" sheetId="56" state="hidden" r:id="rId3"/>
    <sheet name="Análisis" sheetId="74" r:id="rId4"/>
    <sheet name="20Ratios" sheetId="61" r:id="rId5"/>
    <sheet name="R1" sheetId="73" r:id="rId6"/>
    <sheet name="R2" sheetId="66" r:id="rId7"/>
    <sheet name="SB" sheetId="46" state="hidden" r:id="rId8"/>
  </sheets>
  <externalReferences>
    <externalReference r:id="rId9"/>
  </externalReferences>
  <definedNames>
    <definedName name="_xlnm._FilterDatabase" localSheetId="7" hidden="1">SB!$J$4:$J$10</definedName>
    <definedName name="_GRA1">#REF!</definedName>
    <definedName name="_GRA2">#REF!</definedName>
    <definedName name="_mes2">#REF!</definedName>
    <definedName name="_mes3">#REF!</definedName>
    <definedName name="_one1">#REF!</definedName>
    <definedName name="_uno1">#REF!</definedName>
    <definedName name="ACTIVIDAD">INICIO!$A$641:$A$661</definedName>
    <definedName name="activocirculante">#REF!</definedName>
    <definedName name="activofijo">#REF!</definedName>
    <definedName name="ACTIVOr1">'R1'!$E$8:$G$17</definedName>
    <definedName name="amortizacion">#REF!</definedName>
    <definedName name="analisisbalances">INICIO!$A$419:$A$421</definedName>
    <definedName name="analisisoperativo">INICIO!#REF!</definedName>
    <definedName name="añobalance">'R1'!$I$6:$M$6</definedName>
    <definedName name="_xlnm.Print_Area" localSheetId="4">'20Ratios'!$C$2:$N$38</definedName>
    <definedName name="_xlnm.Print_Area" localSheetId="3">Análisis!$C$3:$Q$33</definedName>
    <definedName name="_xlnm.Print_Area" localSheetId="1">DATOS!$C$5:$L$70</definedName>
    <definedName name="_xlnm.Print_Area" localSheetId="0">INICIO!$D$3:$M$16</definedName>
    <definedName name="_xlnm.Print_Area" localSheetId="5" xml:space="preserve"> 'R1'!$E$4:$M$56</definedName>
    <definedName name="_xlnm.Print_Area" localSheetId="6">'R2'!$D$3:$N$90</definedName>
    <definedName name="arribaa2">'20Ratios'!$A$3:$A$59</definedName>
    <definedName name="ARRIBAAR">Análisis!$A$3:$A$76</definedName>
    <definedName name="arribaDATOS">DATOS!$A$4:$A$90</definedName>
    <definedName name="arribaR1">'R1'!$A$3:$A$122</definedName>
    <definedName name="arribaR2">'R2'!$A$3:$A$134</definedName>
    <definedName name="asistencial">#REF!</definedName>
    <definedName name="balance">SB!$J$5:$J$10</definedName>
    <definedName name="balances">INICIO!$A$454:$A$490</definedName>
    <definedName name="BreakEvenQuantity">#REF!</definedName>
    <definedName name="BUSCARMES">#REF!</definedName>
    <definedName name="cantidad">#REF!</definedName>
    <definedName name="carencia">#REF!</definedName>
    <definedName name="carenciaespecial">#REF!</definedName>
    <definedName name="cin">#REF!</definedName>
    <definedName name="CINCO">#REF!</definedName>
    <definedName name="circulante">SB!$F$6:$F$11</definedName>
    <definedName name="complementos">#REF!</definedName>
    <definedName name="costesalarial">#REF!</definedName>
    <definedName name="CRECIMIENTO">INICIO!#REF!</definedName>
    <definedName name="cuarto">#REF!</definedName>
    <definedName name="cuat">#REF!</definedName>
    <definedName name="CUATRO">#REF!</definedName>
    <definedName name="datosbalances">INICIO!$A$852:$A$978</definedName>
    <definedName name="DEDUCCIONES">#REF!</definedName>
    <definedName name="deducciones2">#REF!</definedName>
    <definedName name="devengoiva">#REF!</definedName>
    <definedName name="discin">#REF!</definedName>
    <definedName name="discuat">#REF!</definedName>
    <definedName name="disdos">#REF!</definedName>
    <definedName name="distres">#REF!</definedName>
    <definedName name="disun">#REF!</definedName>
    <definedName name="do">#REF!</definedName>
    <definedName name="DOS">#REF!</definedName>
    <definedName name="ejemplo">#REF!</definedName>
    <definedName name="ejercicio">#REF!</definedName>
    <definedName name="ejercicios">#REF!</definedName>
    <definedName name="EXIGIBLECP">#REF!</definedName>
    <definedName name="EXIGIBLELP">#REF!</definedName>
    <definedName name="EXTRASALARIALES">#REF!</definedName>
    <definedName name="FLUJOSCAJA">INICIO!$A$577:$A$582</definedName>
    <definedName name="fondomaniobra">INICIO!$A$535:$A$633</definedName>
    <definedName name="FONDOSPROPIOS">#REF!</definedName>
    <definedName name="forma">#REF!</definedName>
    <definedName name="forma2">#REF!</definedName>
    <definedName name="garajetipo">#REF!</definedName>
    <definedName name="GARANTIA">INICIO!$A$467:$A$579</definedName>
    <definedName name="Gastospromo">#REF!</definedName>
    <definedName name="HOJADC">INICIO!#REF!</definedName>
    <definedName name="IMPORTES">#REF!</definedName>
    <definedName name="info1">INICIO!$A$184:$A$265</definedName>
    <definedName name="info1a">INICIO!$A$907:$A$921</definedName>
    <definedName name="info2">#REF!</definedName>
    <definedName name="INFOGRAL">#REF!</definedName>
    <definedName name="infouno">#REF!</definedName>
    <definedName name="ingreso">#REF!</definedName>
    <definedName name="ingresocinco">#REF!</definedName>
    <definedName name="ingresocuatro">#REF!</definedName>
    <definedName name="ingresodos">#REF!</definedName>
    <definedName name="ingresotres">#REF!</definedName>
    <definedName name="ingresouno">#REF!</definedName>
    <definedName name="iniciohoja">INICIO!$A$1:$A$60</definedName>
    <definedName name="inmovilizado">SB!$D$6:$D$9</definedName>
    <definedName name="IRPF">#REF!</definedName>
    <definedName name="irpf2">#REF!</definedName>
    <definedName name="iva">#REF!</definedName>
    <definedName name="liquidez">INICIO!$A$356:$A$481</definedName>
    <definedName name="LIQUIDO">INICIO!#REF!</definedName>
    <definedName name="LIQUIDO1">INICIO!#REF!</definedName>
    <definedName name="LIQUIDOALARM">INICIO!#REF!</definedName>
    <definedName name="mesdepago">#REF!</definedName>
    <definedName name="meses">#REF!</definedName>
    <definedName name="mesespago">#REF!</definedName>
    <definedName name="mespago">#REF!</definedName>
    <definedName name="nosalarial">#REF!</definedName>
    <definedName name="nota">INICIO!$A$511:$A$536</definedName>
    <definedName name="numeromeses">#REF!</definedName>
    <definedName name="NUMES">#REF!</definedName>
    <definedName name="numpaga">#REF!</definedName>
    <definedName name="numpagas">#REF!</definedName>
    <definedName name="objetivosab">INICIO!$A$255:$A$285</definedName>
    <definedName name="one">#REF!</definedName>
    <definedName name="otrosdatos">INICIO!$A$905:$A$906</definedName>
    <definedName name="paga1">#REF!</definedName>
    <definedName name="paga2">#REF!</definedName>
    <definedName name="paga3">#REF!</definedName>
    <definedName name="paga4">#REF!</definedName>
    <definedName name="PAGAS">#REF!</definedName>
    <definedName name="PAGAS1">#REF!</definedName>
    <definedName name="PAGASEXTRA">#REF!</definedName>
    <definedName name="PAGO">#REF!</definedName>
    <definedName name="pagocuota">#REF!</definedName>
    <definedName name="pasivo">#REF!</definedName>
    <definedName name="pasivo2">#REF!</definedName>
    <definedName name="pasivocorriente">SB!$D$18:$D$23</definedName>
    <definedName name="pasivonocorriente">SB!$D$18:$D$23</definedName>
    <definedName name="PASIVONONCURRENT">SB!$F$18:$F$21</definedName>
    <definedName name="paso1">#REF!</definedName>
    <definedName name="paso2">#REF!</definedName>
    <definedName name="patrimonion">SB!$H$6:$H$9</definedName>
    <definedName name="pcuatro">#REF!</definedName>
    <definedName name="PDOS">#REF!</definedName>
    <definedName name="percepcion">#REF!</definedName>
    <definedName name="periodo">[1]SB!$B$8:$B$25</definedName>
    <definedName name="personal">#REF!</definedName>
    <definedName name="pneto">#REF!</definedName>
    <definedName name="pneto2">#REF!</definedName>
    <definedName name="primero">#REF!</definedName>
    <definedName name="PRINCIPAL">#REF!</definedName>
    <definedName name="productividad">INICIO!$A$697:$A$707</definedName>
    <definedName name="prorrateo2">#REF!</definedName>
    <definedName name="PTRES">#REF!</definedName>
    <definedName name="PUBLICIDAD1">INICIO!$A$714:$A$773</definedName>
    <definedName name="puesto">#REF!</definedName>
    <definedName name="PUNO">#REF!</definedName>
    <definedName name="quinto">#REF!</definedName>
    <definedName name="REFERENCIA">INICIO!#REF!</definedName>
    <definedName name="RENTABILIDAD">INICIO!$A$582:$A$703</definedName>
    <definedName name="resultados">INICIO!#REF!</definedName>
    <definedName name="rotations">INICIO!$A$638:$A$874</definedName>
    <definedName name="salariales">#REF!</definedName>
    <definedName name="salariales2">#REF!</definedName>
    <definedName name="salario">#REF!</definedName>
    <definedName name="salariobase">#REF!</definedName>
    <definedName name="SALARIOS">#REF!</definedName>
    <definedName name="SCINCO">#REF!</definedName>
    <definedName name="SCUATRO">#REF!</definedName>
    <definedName name="SDOS">#REF!</definedName>
    <definedName name="segundo">#REF!</definedName>
    <definedName name="SINO">#REF!</definedName>
    <definedName name="SISI">#REF!</definedName>
    <definedName name="solvencia">INICIO!$A$409:$A$504</definedName>
    <definedName name="STRES">#REF!</definedName>
    <definedName name="SUNO">#REF!</definedName>
    <definedName name="superior">#REF!</definedName>
    <definedName name="tercero">#REF!</definedName>
    <definedName name="tipogarajes">#REF!</definedName>
    <definedName name="tipolocal">#REF!</definedName>
    <definedName name="tipolocales">#REF!</definedName>
    <definedName name="tipovivienda">#REF!</definedName>
    <definedName name="tipoviviendas">#REF!</definedName>
    <definedName name="TotalCosts">#REF!</definedName>
    <definedName name="TotalFixedCost">#REF!</definedName>
    <definedName name="TotalInflow">#REF!</definedName>
    <definedName name="TotalVariableCost">#REF!</definedName>
    <definedName name="trasteros">#REF!</definedName>
    <definedName name="traterotipo">#REF!</definedName>
    <definedName name="tre">#REF!</definedName>
    <definedName name="TRES">#REF!</definedName>
    <definedName name="un">#REF!</definedName>
    <definedName name="UnitInflow">#REF!</definedName>
    <definedName name="Units">#REF!</definedName>
    <definedName name="UnitVariableCost">#REF!</definedName>
    <definedName name="UNO">#REF!</definedName>
    <definedName name="versionlibre">INICIO!$A$225:$A$257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74" l="1"/>
  <c r="A16" i="38"/>
  <c r="E14" i="38" s="1"/>
  <c r="G4" i="74" l="1"/>
  <c r="L60" i="75" l="1"/>
  <c r="K60" i="75"/>
  <c r="J60" i="75"/>
  <c r="I60" i="75"/>
  <c r="H60" i="75"/>
  <c r="L55" i="75"/>
  <c r="K55" i="75"/>
  <c r="J55" i="75"/>
  <c r="I55" i="75"/>
  <c r="H55" i="75"/>
  <c r="L45" i="75"/>
  <c r="L43" i="75" s="1"/>
  <c r="K45" i="75"/>
  <c r="K43" i="75" s="1"/>
  <c r="J45" i="75"/>
  <c r="J43" i="75" s="1"/>
  <c r="I45" i="75"/>
  <c r="I43" i="75" s="1"/>
  <c r="H45" i="75"/>
  <c r="H43" i="75" s="1"/>
  <c r="L30" i="75"/>
  <c r="L28" i="75" s="1"/>
  <c r="K30" i="75"/>
  <c r="K28" i="75" s="1"/>
  <c r="J30" i="75"/>
  <c r="J28" i="75" s="1"/>
  <c r="I30" i="75"/>
  <c r="I28" i="75" s="1"/>
  <c r="H30" i="75"/>
  <c r="H28" i="75" s="1"/>
  <c r="L17" i="75"/>
  <c r="L14" i="75" s="1"/>
  <c r="K17" i="75"/>
  <c r="K14" i="75" s="1"/>
  <c r="J17" i="75"/>
  <c r="J14" i="75" s="1"/>
  <c r="I17" i="75"/>
  <c r="I14" i="75" s="1"/>
  <c r="H17" i="75"/>
  <c r="H14" i="75" s="1"/>
  <c r="L52" i="75" l="1"/>
  <c r="L64" i="75" s="1"/>
  <c r="K52" i="75"/>
  <c r="K64" i="75" s="1"/>
  <c r="J52" i="75"/>
  <c r="J64" i="75" s="1"/>
  <c r="I52" i="75"/>
  <c r="I64" i="75" s="1"/>
  <c r="H52" i="75"/>
  <c r="H64" i="75" s="1"/>
  <c r="H18" i="46"/>
  <c r="C23" i="56"/>
  <c r="C24" i="56"/>
  <c r="C25" i="56"/>
  <c r="C36" i="56"/>
  <c r="C37" i="56"/>
  <c r="C38" i="56"/>
  <c r="C39" i="56"/>
  <c r="C40" i="56"/>
  <c r="C41" i="56"/>
  <c r="C29" i="56"/>
  <c r="C30" i="56"/>
  <c r="C31" i="56"/>
  <c r="C32" i="56"/>
  <c r="D23" i="56"/>
  <c r="J24" i="73" s="1"/>
  <c r="D24" i="56"/>
  <c r="D25" i="56"/>
  <c r="C4" i="56"/>
  <c r="C5" i="56"/>
  <c r="D36" i="56"/>
  <c r="D37" i="56"/>
  <c r="D38" i="56"/>
  <c r="D39" i="56"/>
  <c r="D40" i="56"/>
  <c r="D41" i="56"/>
  <c r="D29" i="56"/>
  <c r="D30" i="56"/>
  <c r="D31" i="56"/>
  <c r="D32" i="56"/>
  <c r="C13" i="56"/>
  <c r="C12" i="56"/>
  <c r="C10" i="56"/>
  <c r="C11" i="56"/>
  <c r="D13" i="56"/>
  <c r="D12" i="56"/>
  <c r="D10" i="56"/>
  <c r="D11" i="56"/>
  <c r="C14" i="56"/>
  <c r="C18" i="56" s="1"/>
  <c r="I16" i="73" s="1"/>
  <c r="D14" i="56"/>
  <c r="D18" i="56" s="1"/>
  <c r="J16" i="73" s="1"/>
  <c r="G13" i="56"/>
  <c r="G12" i="56"/>
  <c r="G10" i="56"/>
  <c r="G11" i="56"/>
  <c r="F13" i="56"/>
  <c r="F12" i="56"/>
  <c r="F10" i="56"/>
  <c r="F11" i="56"/>
  <c r="E13" i="56"/>
  <c r="E12" i="56"/>
  <c r="E10" i="56"/>
  <c r="E11" i="56"/>
  <c r="J7" i="75"/>
  <c r="J25" i="75" s="1"/>
  <c r="D4" i="56"/>
  <c r="D5" i="56"/>
  <c r="E36" i="56"/>
  <c r="E37" i="56"/>
  <c r="E38" i="56"/>
  <c r="E39" i="56"/>
  <c r="E40" i="56"/>
  <c r="E41" i="56"/>
  <c r="E29" i="56"/>
  <c r="E30" i="56"/>
  <c r="E31" i="56"/>
  <c r="E32" i="56"/>
  <c r="E23" i="56"/>
  <c r="K24" i="73" s="1"/>
  <c r="E24" i="56"/>
  <c r="E25" i="56"/>
  <c r="E14" i="56"/>
  <c r="E18" i="56" s="1"/>
  <c r="K16" i="73" s="1"/>
  <c r="C9" i="56"/>
  <c r="C16" i="56" s="1"/>
  <c r="I12" i="73" s="1"/>
  <c r="C6" i="56"/>
  <c r="D9" i="56"/>
  <c r="D16" i="56" s="1"/>
  <c r="J12" i="73" s="1"/>
  <c r="D6" i="56"/>
  <c r="E9" i="56"/>
  <c r="E16" i="56" s="1"/>
  <c r="K12" i="73" s="1"/>
  <c r="E4" i="56"/>
  <c r="E5" i="56"/>
  <c r="E6" i="56"/>
  <c r="L7" i="75"/>
  <c r="K7" i="75"/>
  <c r="K25" i="75" s="1"/>
  <c r="I7" i="75"/>
  <c r="I25" i="75" s="1"/>
  <c r="H7" i="75"/>
  <c r="H25" i="75" s="1"/>
  <c r="C71" i="56"/>
  <c r="D71" i="56"/>
  <c r="E71" i="56"/>
  <c r="E85" i="56" s="1"/>
  <c r="G35" i="61" s="1"/>
  <c r="K45" i="66" s="1"/>
  <c r="F9" i="56"/>
  <c r="F16" i="56" s="1"/>
  <c r="L12" i="73" s="1"/>
  <c r="F14" i="56"/>
  <c r="F18" i="56" s="1"/>
  <c r="L16" i="73" s="1"/>
  <c r="F4" i="56"/>
  <c r="F5" i="56"/>
  <c r="F6" i="56"/>
  <c r="F71" i="56"/>
  <c r="F85" i="56" s="1"/>
  <c r="H35" i="61" s="1"/>
  <c r="L45" i="66" s="1"/>
  <c r="G9" i="56"/>
  <c r="G16" i="56" s="1"/>
  <c r="M12" i="73" s="1"/>
  <c r="G14" i="56"/>
  <c r="G18" i="56" s="1"/>
  <c r="M16" i="73" s="1"/>
  <c r="G4" i="56"/>
  <c r="G5" i="56"/>
  <c r="G6" i="56"/>
  <c r="G71" i="56"/>
  <c r="C75" i="56"/>
  <c r="C84" i="56" s="1"/>
  <c r="E36" i="61" s="1"/>
  <c r="I46" i="66" s="1"/>
  <c r="D75" i="56"/>
  <c r="D84" i="56" s="1"/>
  <c r="F36" i="61" s="1"/>
  <c r="J46" i="66" s="1"/>
  <c r="E75" i="56"/>
  <c r="F75" i="56"/>
  <c r="F39" i="56"/>
  <c r="G75" i="56"/>
  <c r="G39" i="56"/>
  <c r="E43" i="66"/>
  <c r="E44" i="66"/>
  <c r="E45" i="66"/>
  <c r="E46" i="66"/>
  <c r="E36" i="66"/>
  <c r="F36" i="56"/>
  <c r="F37" i="56"/>
  <c r="F38" i="56"/>
  <c r="F40" i="56"/>
  <c r="F41" i="56"/>
  <c r="G36" i="56"/>
  <c r="G37" i="56"/>
  <c r="G38" i="56"/>
  <c r="G40" i="56"/>
  <c r="G41" i="56"/>
  <c r="E37" i="66"/>
  <c r="E38" i="66"/>
  <c r="G73" i="56"/>
  <c r="F73" i="56"/>
  <c r="E73" i="56"/>
  <c r="D73" i="56"/>
  <c r="C73" i="56"/>
  <c r="E31" i="66"/>
  <c r="E28" i="66"/>
  <c r="F23" i="56"/>
  <c r="L24" i="73" s="1"/>
  <c r="F24" i="56"/>
  <c r="F25" i="56"/>
  <c r="G23" i="56"/>
  <c r="M24" i="73" s="1"/>
  <c r="G24" i="56"/>
  <c r="G25" i="56"/>
  <c r="E29" i="66"/>
  <c r="E30" i="66"/>
  <c r="G29" i="56"/>
  <c r="G30" i="56"/>
  <c r="G31" i="56"/>
  <c r="G32" i="56"/>
  <c r="F29" i="56"/>
  <c r="F30" i="56"/>
  <c r="F31" i="56"/>
  <c r="F32" i="56"/>
  <c r="E19" i="74"/>
  <c r="E18" i="74"/>
  <c r="E16" i="74"/>
  <c r="E17" i="74"/>
  <c r="E13" i="74"/>
  <c r="E12" i="74"/>
  <c r="E11" i="74"/>
  <c r="E10" i="74"/>
  <c r="E9" i="74"/>
  <c r="E8" i="74"/>
  <c r="E4" i="73"/>
  <c r="E22" i="66"/>
  <c r="E23" i="66"/>
  <c r="E15" i="66"/>
  <c r="E16" i="66"/>
  <c r="E17" i="66"/>
  <c r="E8" i="66"/>
  <c r="E9" i="66"/>
  <c r="E10" i="66"/>
  <c r="E6" i="66"/>
  <c r="E4" i="66"/>
  <c r="D85" i="56" l="1"/>
  <c r="F35" i="61" s="1"/>
  <c r="J45" i="66" s="1"/>
  <c r="C85" i="56"/>
  <c r="E35" i="61" s="1"/>
  <c r="I45" i="66" s="1"/>
  <c r="E81" i="56"/>
  <c r="G10" i="61" s="1"/>
  <c r="K31" i="66" s="1"/>
  <c r="E80" i="56"/>
  <c r="G9" i="61" s="1"/>
  <c r="K30" i="66" s="1"/>
  <c r="C81" i="56"/>
  <c r="E10" i="61" s="1"/>
  <c r="I31" i="66" s="1"/>
  <c r="G81" i="56"/>
  <c r="I10" i="61" s="1"/>
  <c r="M31" i="66" s="1"/>
  <c r="D81" i="56"/>
  <c r="F10" i="61" s="1"/>
  <c r="J31" i="66" s="1"/>
  <c r="C26" i="56"/>
  <c r="I22" i="73" s="1"/>
  <c r="I24" i="73"/>
  <c r="G80" i="56"/>
  <c r="I9" i="61" s="1"/>
  <c r="M30" i="66" s="1"/>
  <c r="C80" i="56"/>
  <c r="E9" i="61" s="1"/>
  <c r="I30" i="66" s="1"/>
  <c r="F81" i="56"/>
  <c r="H10" i="61" s="1"/>
  <c r="L31" i="66" s="1"/>
  <c r="E26" i="56"/>
  <c r="K22" i="73" s="1"/>
  <c r="E33" i="56"/>
  <c r="K26" i="73" s="1"/>
  <c r="F17" i="56"/>
  <c r="L14" i="73" s="1"/>
  <c r="I6" i="73"/>
  <c r="D80" i="56"/>
  <c r="F9" i="61" s="1"/>
  <c r="J30" i="66" s="1"/>
  <c r="G84" i="56"/>
  <c r="I36" i="61" s="1"/>
  <c r="M46" i="66" s="1"/>
  <c r="F84" i="56"/>
  <c r="H36" i="61" s="1"/>
  <c r="L46" i="66" s="1"/>
  <c r="G85" i="56"/>
  <c r="I35" i="61" s="1"/>
  <c r="M45" i="66" s="1"/>
  <c r="G33" i="56"/>
  <c r="M26" i="73" s="1"/>
  <c r="E84" i="56"/>
  <c r="G36" i="61" s="1"/>
  <c r="K46" i="66" s="1"/>
  <c r="D26" i="56"/>
  <c r="D78" i="56" s="1"/>
  <c r="F7" i="61" s="1"/>
  <c r="J28" i="66" s="1"/>
  <c r="L25" i="75"/>
  <c r="C33" i="56"/>
  <c r="G26" i="56"/>
  <c r="M22" i="73" s="1"/>
  <c r="F42" i="56"/>
  <c r="F58" i="56" s="1"/>
  <c r="H20" i="61" s="1"/>
  <c r="L17" i="66" s="1"/>
  <c r="D33" i="56"/>
  <c r="J26" i="73" s="1"/>
  <c r="E15" i="56"/>
  <c r="K11" i="73" s="1"/>
  <c r="D15" i="56"/>
  <c r="J11" i="73" s="1"/>
  <c r="C15" i="56"/>
  <c r="I11" i="73" s="1"/>
  <c r="G15" i="56"/>
  <c r="M11" i="73" s="1"/>
  <c r="H39" i="46"/>
  <c r="H27" i="75"/>
  <c r="H66" i="75" s="1"/>
  <c r="J5" i="46"/>
  <c r="F26" i="56"/>
  <c r="G42" i="56"/>
  <c r="G7" i="56"/>
  <c r="E42" i="56"/>
  <c r="D7" i="56"/>
  <c r="G17" i="56"/>
  <c r="M14" i="73" s="1"/>
  <c r="C17" i="56"/>
  <c r="I14" i="73" s="1"/>
  <c r="D42" i="56"/>
  <c r="C42" i="56"/>
  <c r="F33" i="56"/>
  <c r="F80" i="56"/>
  <c r="H9" i="61" s="1"/>
  <c r="L30" i="66" s="1"/>
  <c r="F7" i="56"/>
  <c r="E7" i="56"/>
  <c r="E17" i="56"/>
  <c r="K14" i="73" s="1"/>
  <c r="F15" i="56"/>
  <c r="D17" i="56"/>
  <c r="J14" i="73" s="1"/>
  <c r="C7" i="56"/>
  <c r="G68" i="56" l="1"/>
  <c r="I29" i="61" s="1"/>
  <c r="M9" i="66" s="1"/>
  <c r="C78" i="56"/>
  <c r="E7" i="61" s="1"/>
  <c r="I28" i="66" s="1"/>
  <c r="C64" i="56"/>
  <c r="E24" i="61" s="1"/>
  <c r="I23" i="66" s="1"/>
  <c r="D64" i="56"/>
  <c r="F24" i="61" s="1"/>
  <c r="J23" i="66" s="1"/>
  <c r="E78" i="56"/>
  <c r="G7" i="61" s="1"/>
  <c r="K28" i="66" s="1"/>
  <c r="E69" i="56"/>
  <c r="G30" i="61" s="1"/>
  <c r="K10" i="66" s="1"/>
  <c r="F57" i="56"/>
  <c r="H19" i="61" s="1"/>
  <c r="L16" i="66" s="1"/>
  <c r="J22" i="73"/>
  <c r="J38" i="73" s="1"/>
  <c r="E64" i="56"/>
  <c r="G24" i="61" s="1"/>
  <c r="K23" i="66" s="1"/>
  <c r="E4" i="61"/>
  <c r="C1" i="56"/>
  <c r="H6" i="75"/>
  <c r="I6" i="75"/>
  <c r="J6" i="73" s="1"/>
  <c r="D54" i="56"/>
  <c r="F13" i="61" s="1"/>
  <c r="J36" i="66" s="1"/>
  <c r="L28" i="73"/>
  <c r="J36" i="73"/>
  <c r="D68" i="56"/>
  <c r="F29" i="61" s="1"/>
  <c r="J9" i="66" s="1"/>
  <c r="C69" i="56"/>
  <c r="E30" i="61" s="1"/>
  <c r="I10" i="66" s="1"/>
  <c r="G64" i="56"/>
  <c r="I24" i="61" s="1"/>
  <c r="M23" i="66" s="1"/>
  <c r="G69" i="56"/>
  <c r="I30" i="61" s="1"/>
  <c r="M10" i="66" s="1"/>
  <c r="D69" i="56"/>
  <c r="F30" i="61" s="1"/>
  <c r="J10" i="66" s="1"/>
  <c r="E68" i="56"/>
  <c r="G29" i="61" s="1"/>
  <c r="K9" i="66" s="1"/>
  <c r="K36" i="73"/>
  <c r="F56" i="56"/>
  <c r="H18" i="61" s="1"/>
  <c r="L15" i="66" s="1"/>
  <c r="K39" i="73"/>
  <c r="C68" i="56"/>
  <c r="E29" i="61" s="1"/>
  <c r="I9" i="66" s="1"/>
  <c r="I26" i="73"/>
  <c r="J39" i="73" s="1"/>
  <c r="G78" i="56"/>
  <c r="I7" i="61" s="1"/>
  <c r="M28" i="66" s="1"/>
  <c r="E54" i="56"/>
  <c r="E60" i="56" s="1"/>
  <c r="G14" i="61" s="1"/>
  <c r="K37" i="66" s="1"/>
  <c r="G44" i="56"/>
  <c r="G63" i="56" s="1"/>
  <c r="I23" i="61" s="1"/>
  <c r="M22" i="66" s="1"/>
  <c r="G58" i="56"/>
  <c r="I20" i="61" s="1"/>
  <c r="M17" i="66" s="1"/>
  <c r="G56" i="56"/>
  <c r="I18" i="61" s="1"/>
  <c r="M15" i="66" s="1"/>
  <c r="G54" i="56"/>
  <c r="G57" i="56"/>
  <c r="I19" i="61" s="1"/>
  <c r="M16" i="66" s="1"/>
  <c r="M28" i="73"/>
  <c r="M40" i="73" s="1"/>
  <c r="C87" i="56"/>
  <c r="E34" i="61" s="1"/>
  <c r="I44" i="66" s="1"/>
  <c r="C20" i="56"/>
  <c r="I9" i="73"/>
  <c r="F54" i="56"/>
  <c r="L11" i="73"/>
  <c r="L36" i="73" s="1"/>
  <c r="F20" i="56"/>
  <c r="E87" i="56"/>
  <c r="G34" i="61" s="1"/>
  <c r="K44" i="66" s="1"/>
  <c r="E20" i="56"/>
  <c r="K9" i="73"/>
  <c r="F68" i="56"/>
  <c r="H29" i="61" s="1"/>
  <c r="L9" i="66" s="1"/>
  <c r="L26" i="73"/>
  <c r="F44" i="56"/>
  <c r="F63" i="56" s="1"/>
  <c r="H23" i="61" s="1"/>
  <c r="L22" i="66" s="1"/>
  <c r="C44" i="56"/>
  <c r="C63" i="56" s="1"/>
  <c r="E23" i="61" s="1"/>
  <c r="I22" i="66" s="1"/>
  <c r="C57" i="56"/>
  <c r="E19" i="61" s="1"/>
  <c r="I16" i="66" s="1"/>
  <c r="C58" i="56"/>
  <c r="E20" i="61" s="1"/>
  <c r="I17" i="66" s="1"/>
  <c r="C56" i="56"/>
  <c r="E18" i="61" s="1"/>
  <c r="I15" i="66" s="1"/>
  <c r="I28" i="73"/>
  <c r="C54" i="56"/>
  <c r="D20" i="56"/>
  <c r="J9" i="73"/>
  <c r="D87" i="56"/>
  <c r="F34" i="61" s="1"/>
  <c r="J44" i="66" s="1"/>
  <c r="G87" i="56"/>
  <c r="I34" i="61" s="1"/>
  <c r="M44" i="66" s="1"/>
  <c r="M9" i="73"/>
  <c r="F64" i="56"/>
  <c r="H24" i="61" s="1"/>
  <c r="L23" i="66" s="1"/>
  <c r="L22" i="73"/>
  <c r="L38" i="73" s="1"/>
  <c r="F78" i="56"/>
  <c r="H7" i="61" s="1"/>
  <c r="L28" i="66" s="1"/>
  <c r="F69" i="56"/>
  <c r="H30" i="61" s="1"/>
  <c r="L10" i="66" s="1"/>
  <c r="I19" i="73"/>
  <c r="I6" i="66"/>
  <c r="I13" i="66" s="1"/>
  <c r="G20" i="56"/>
  <c r="P2" i="74"/>
  <c r="F87" i="56"/>
  <c r="H34" i="61" s="1"/>
  <c r="L44" i="66" s="1"/>
  <c r="L9" i="73"/>
  <c r="D44" i="56"/>
  <c r="D63" i="56" s="1"/>
  <c r="F23" i="61" s="1"/>
  <c r="J22" i="66" s="1"/>
  <c r="J28" i="73"/>
  <c r="D57" i="56"/>
  <c r="F19" i="61" s="1"/>
  <c r="J16" i="66" s="1"/>
  <c r="D58" i="56"/>
  <c r="F20" i="61" s="1"/>
  <c r="J17" i="66" s="1"/>
  <c r="D56" i="56"/>
  <c r="F18" i="61" s="1"/>
  <c r="J15" i="66" s="1"/>
  <c r="E44" i="56"/>
  <c r="E63" i="56" s="1"/>
  <c r="G23" i="61" s="1"/>
  <c r="K22" i="66" s="1"/>
  <c r="K28" i="73"/>
  <c r="E57" i="56"/>
  <c r="G19" i="61" s="1"/>
  <c r="K16" i="66" s="1"/>
  <c r="E58" i="56"/>
  <c r="G20" i="61" s="1"/>
  <c r="K17" i="66" s="1"/>
  <c r="E56" i="56"/>
  <c r="G18" i="61" s="1"/>
  <c r="K15" i="66" s="1"/>
  <c r="K40" i="73" l="1"/>
  <c r="D61" i="56"/>
  <c r="F15" i="61" s="1"/>
  <c r="J38" i="66" s="1"/>
  <c r="K38" i="73"/>
  <c r="D60" i="56"/>
  <c r="F14" i="61" s="1"/>
  <c r="J37" i="66" s="1"/>
  <c r="J6" i="46"/>
  <c r="F4" i="61"/>
  <c r="I27" i="75"/>
  <c r="I66" i="75" s="1"/>
  <c r="J6" i="75"/>
  <c r="K6" i="73" s="1"/>
  <c r="D1" i="56"/>
  <c r="L35" i="73"/>
  <c r="J35" i="73"/>
  <c r="K35" i="73"/>
  <c r="E13" i="61"/>
  <c r="I36" i="66" s="1"/>
  <c r="C61" i="56"/>
  <c r="E15" i="61" s="1"/>
  <c r="I38" i="66" s="1"/>
  <c r="J40" i="73"/>
  <c r="M35" i="73"/>
  <c r="M36" i="73"/>
  <c r="M38" i="73"/>
  <c r="L39" i="73"/>
  <c r="M39" i="73"/>
  <c r="I13" i="61"/>
  <c r="M36" i="66" s="1"/>
  <c r="G61" i="56"/>
  <c r="I15" i="61" s="1"/>
  <c r="M38" i="66" s="1"/>
  <c r="G13" i="61"/>
  <c r="K36" i="66" s="1"/>
  <c r="E61" i="56"/>
  <c r="G15" i="61" s="1"/>
  <c r="K38" i="66" s="1"/>
  <c r="L40" i="73"/>
  <c r="H13" i="61"/>
  <c r="L36" i="66" s="1"/>
  <c r="F61" i="56"/>
  <c r="H15" i="61" s="1"/>
  <c r="L38" i="66" s="1"/>
  <c r="F60" i="56"/>
  <c r="H14" i="61" s="1"/>
  <c r="L37" i="66" s="1"/>
  <c r="G60" i="56"/>
  <c r="I14" i="61" s="1"/>
  <c r="M37" i="66" s="1"/>
  <c r="C60" i="56"/>
  <c r="E14" i="61" s="1"/>
  <c r="I37" i="66" s="1"/>
  <c r="E46" i="56"/>
  <c r="E65" i="56"/>
  <c r="G25" i="61" s="1"/>
  <c r="E67" i="56"/>
  <c r="G28" i="61" s="1"/>
  <c r="K8" i="66" s="1"/>
  <c r="D46" i="56"/>
  <c r="D65" i="56"/>
  <c r="F25" i="61" s="1"/>
  <c r="D67" i="56"/>
  <c r="F28" i="61" s="1"/>
  <c r="J8" i="66" s="1"/>
  <c r="G79" i="56"/>
  <c r="I8" i="61" s="1"/>
  <c r="M29" i="66" s="1"/>
  <c r="G86" i="56"/>
  <c r="I33" i="61" s="1"/>
  <c r="M43" i="66" s="1"/>
  <c r="G49" i="56"/>
  <c r="M8" i="73"/>
  <c r="J8" i="73"/>
  <c r="D49" i="56"/>
  <c r="D86" i="56"/>
  <c r="F33" i="61" s="1"/>
  <c r="J43" i="66" s="1"/>
  <c r="D79" i="56"/>
  <c r="F8" i="61" s="1"/>
  <c r="J29" i="66" s="1"/>
  <c r="F46" i="56"/>
  <c r="F65" i="56"/>
  <c r="H25" i="61" s="1"/>
  <c r="F67" i="56"/>
  <c r="H28" i="61" s="1"/>
  <c r="L8" i="66" s="1"/>
  <c r="K8" i="73"/>
  <c r="E79" i="56"/>
  <c r="G8" i="61" s="1"/>
  <c r="K29" i="66" s="1"/>
  <c r="E86" i="56"/>
  <c r="G33" i="61" s="1"/>
  <c r="K43" i="66" s="1"/>
  <c r="E49" i="56"/>
  <c r="L8" i="73"/>
  <c r="F79" i="56"/>
  <c r="H8" i="61" s="1"/>
  <c r="L29" i="66" s="1"/>
  <c r="F49" i="56"/>
  <c r="F86" i="56"/>
  <c r="H33" i="61" s="1"/>
  <c r="L43" i="66" s="1"/>
  <c r="I8" i="73"/>
  <c r="C79" i="56"/>
  <c r="E8" i="61" s="1"/>
  <c r="I29" i="66" s="1"/>
  <c r="C86" i="56"/>
  <c r="E33" i="61" s="1"/>
  <c r="I43" i="66" s="1"/>
  <c r="C49" i="56"/>
  <c r="G65" i="56"/>
  <c r="I25" i="61" s="1"/>
  <c r="G67" i="56"/>
  <c r="I28" i="61" s="1"/>
  <c r="M8" i="66" s="1"/>
  <c r="G46" i="56"/>
  <c r="I26" i="66"/>
  <c r="I20" i="66"/>
  <c r="C46" i="56"/>
  <c r="C65" i="56"/>
  <c r="E25" i="61" s="1"/>
  <c r="C67" i="56"/>
  <c r="E28" i="61" s="1"/>
  <c r="I8" i="66" s="1"/>
  <c r="J6" i="66"/>
  <c r="J32" i="73"/>
  <c r="J19" i="73"/>
  <c r="K6" i="75" l="1"/>
  <c r="K27" i="75" s="1"/>
  <c r="K66" i="75" s="1"/>
  <c r="J7" i="46"/>
  <c r="J27" i="75"/>
  <c r="J66" i="75" s="1"/>
  <c r="E1" i="56"/>
  <c r="G4" i="61"/>
  <c r="J13" i="66"/>
  <c r="M21" i="73"/>
  <c r="G50" i="56"/>
  <c r="G51" i="56" s="1"/>
  <c r="L34" i="73"/>
  <c r="L10" i="73"/>
  <c r="L15" i="73"/>
  <c r="L17" i="73"/>
  <c r="L13" i="73"/>
  <c r="K17" i="73"/>
  <c r="K15" i="73"/>
  <c r="K13" i="73"/>
  <c r="K10" i="73"/>
  <c r="K34" i="73"/>
  <c r="K19" i="73"/>
  <c r="K6" i="66"/>
  <c r="K13" i="66" s="1"/>
  <c r="K32" i="73"/>
  <c r="C50" i="56"/>
  <c r="C51" i="56" s="1"/>
  <c r="I21" i="73"/>
  <c r="I34" i="66"/>
  <c r="I41" i="66"/>
  <c r="L21" i="73"/>
  <c r="F50" i="56"/>
  <c r="F51" i="56" s="1"/>
  <c r="J34" i="73"/>
  <c r="J10" i="73"/>
  <c r="J17" i="73"/>
  <c r="J13" i="73"/>
  <c r="J15" i="73"/>
  <c r="E50" i="56"/>
  <c r="E51" i="56" s="1"/>
  <c r="K21" i="73"/>
  <c r="I17" i="73"/>
  <c r="I15" i="73"/>
  <c r="I13" i="73"/>
  <c r="I10" i="73"/>
  <c r="M34" i="73"/>
  <c r="M17" i="73"/>
  <c r="M13" i="73"/>
  <c r="M15" i="73"/>
  <c r="M10" i="73"/>
  <c r="J21" i="73"/>
  <c r="D50" i="56"/>
  <c r="D51" i="56" s="1"/>
  <c r="L6" i="75" l="1"/>
  <c r="I4" i="61" s="1"/>
  <c r="F1" i="56"/>
  <c r="L6" i="73"/>
  <c r="L32" i="73" s="1"/>
  <c r="H4" i="61"/>
  <c r="J8" i="46"/>
  <c r="J37" i="73"/>
  <c r="J27" i="73"/>
  <c r="J25" i="73"/>
  <c r="J29" i="73"/>
  <c r="J23" i="73"/>
  <c r="I29" i="73"/>
  <c r="I23" i="73"/>
  <c r="I27" i="73"/>
  <c r="I25" i="73"/>
  <c r="M37" i="73"/>
  <c r="M29" i="73"/>
  <c r="M23" i="73"/>
  <c r="M27" i="73"/>
  <c r="M25" i="73"/>
  <c r="J20" i="66"/>
  <c r="J26" i="66"/>
  <c r="K37" i="73"/>
  <c r="K29" i="73"/>
  <c r="K23" i="73"/>
  <c r="K25" i="73"/>
  <c r="K27" i="73"/>
  <c r="L27" i="73"/>
  <c r="L23" i="73"/>
  <c r="L37" i="73"/>
  <c r="L29" i="73"/>
  <c r="L25" i="73"/>
  <c r="K26" i="66"/>
  <c r="K20" i="66"/>
  <c r="L6" i="66" l="1"/>
  <c r="L13" i="66" s="1"/>
  <c r="L27" i="75"/>
  <c r="L66" i="75" s="1"/>
  <c r="G1" i="56"/>
  <c r="M6" i="73"/>
  <c r="F11" i="74" s="1"/>
  <c r="J9" i="46"/>
  <c r="L19" i="73"/>
  <c r="K34" i="66"/>
  <c r="K41" i="66"/>
  <c r="J41" i="66"/>
  <c r="J34" i="66"/>
  <c r="F8" i="74" l="1"/>
  <c r="F12" i="74"/>
  <c r="F10" i="74"/>
  <c r="F328" i="74" s="1"/>
  <c r="F19" i="74"/>
  <c r="F329" i="74" s="1"/>
  <c r="F336" i="74" s="1"/>
  <c r="M32" i="73"/>
  <c r="F9" i="74"/>
  <c r="F18" i="74"/>
  <c r="F17" i="74"/>
  <c r="M6" i="66"/>
  <c r="O17" i="74" s="1"/>
  <c r="N17" i="74" s="1"/>
  <c r="M19" i="73"/>
  <c r="F16" i="74"/>
  <c r="F13" i="74"/>
  <c r="L20" i="66"/>
  <c r="L26" i="66"/>
  <c r="G18" i="74" l="1"/>
  <c r="G12" i="74"/>
  <c r="F325" i="74"/>
  <c r="G9" i="74"/>
  <c r="G10" i="74"/>
  <c r="G11" i="74"/>
  <c r="G13" i="74"/>
  <c r="G351" i="74"/>
  <c r="N18" i="74" s="1"/>
  <c r="N19" i="74" s="1"/>
  <c r="O10" i="74"/>
  <c r="G346" i="74" s="1"/>
  <c r="N11" i="74" s="1"/>
  <c r="N12" i="74" s="1"/>
  <c r="F335" i="74"/>
  <c r="G335" i="74" s="1"/>
  <c r="K12" i="74" s="1"/>
  <c r="J12" i="74" s="1"/>
  <c r="P17" i="74"/>
  <c r="G328" i="74"/>
  <c r="K10" i="74" s="1"/>
  <c r="M13" i="66"/>
  <c r="M20" i="66" s="1"/>
  <c r="G19" i="74"/>
  <c r="G325" i="74"/>
  <c r="G17" i="74"/>
  <c r="G341" i="74" s="1"/>
  <c r="K17" i="74" s="1"/>
  <c r="L41" i="66"/>
  <c r="L34" i="66"/>
  <c r="J10" i="74" l="1"/>
  <c r="J13" i="74"/>
  <c r="J14" i="74" s="1"/>
  <c r="L12" i="74"/>
  <c r="H325" i="74"/>
  <c r="E20" i="74" s="1"/>
  <c r="N4" i="74" s="1"/>
  <c r="N10" i="74"/>
  <c r="P10" i="74"/>
  <c r="M26" i="66"/>
  <c r="M41" i="66" s="1"/>
  <c r="J11" i="74"/>
  <c r="L10" i="74"/>
  <c r="L17" i="74"/>
  <c r="J18" i="74"/>
  <c r="J19" i="74" s="1"/>
  <c r="J17" i="74"/>
  <c r="M34" i="66" l="1"/>
</calcChain>
</file>

<file path=xl/sharedStrings.xml><?xml version="1.0" encoding="utf-8"?>
<sst xmlns="http://schemas.openxmlformats.org/spreadsheetml/2006/main" count="628" uniqueCount="523">
  <si>
    <t xml:space="preserve">      según el sector donde opere. En consecuencia: toma nuestras valoraciones como una referencia pero comprueba si en tu sector</t>
  </si>
  <si>
    <t xml:space="preserve">      son realmente aplicables. Usa siempre los referentes de tu sector.</t>
  </si>
  <si>
    <t xml:space="preserve">      al tamaño y a la ubicación geográfica o país donde la empresa opere.</t>
  </si>
  <si>
    <t xml:space="preserve">Ganancias antes de intereses (y gastos financieros), impuestos, depreciaciones y amortizaciones. </t>
  </si>
  <si>
    <t>En nuestro caso, el EBITDA no incluye los ingresos financieros.</t>
  </si>
  <si>
    <t>OBJETIVOS del ANÁLISIS de los estados financieros (o de los balances)</t>
  </si>
  <si>
    <t>parámetros de análisis - NO BORRAR</t>
  </si>
  <si>
    <t>Total Patrimonio Neto y Pasivo</t>
  </si>
  <si>
    <t>Total Activo</t>
  </si>
  <si>
    <t xml:space="preserve"> </t>
  </si>
  <si>
    <t xml:space="preserve">  Antes de comenzar, ten en cuenta</t>
  </si>
  <si>
    <t>ACTIVO</t>
  </si>
  <si>
    <t>PATRIMONIO NETO Y PASIVO</t>
  </si>
  <si>
    <t>TOTAL ACTIVO</t>
  </si>
  <si>
    <t>Existencias</t>
  </si>
  <si>
    <t>Realizable</t>
  </si>
  <si>
    <t>Disponible</t>
  </si>
  <si>
    <t>CIRCULANTE</t>
  </si>
  <si>
    <t>PATRIMONIO NETO</t>
  </si>
  <si>
    <t>Garantía</t>
  </si>
  <si>
    <t>ACTIVO FIJO</t>
  </si>
  <si>
    <t>EXIGIBLE A LARGO PLAZO</t>
  </si>
  <si>
    <t>EXIGIBLE A CORTO PLAZO</t>
  </si>
  <si>
    <t>Capital</t>
  </si>
  <si>
    <t>inmovilizado</t>
  </si>
  <si>
    <t>circulante</t>
  </si>
  <si>
    <t>EXISTENCIAS</t>
  </si>
  <si>
    <t>REALIZABLE</t>
  </si>
  <si>
    <t>DISPONIBLE</t>
  </si>
  <si>
    <t>Ajustes</t>
  </si>
  <si>
    <t>patrimonion</t>
  </si>
  <si>
    <t>pasivocorriente</t>
  </si>
  <si>
    <t>pasivoNOcorriente</t>
  </si>
  <si>
    <t>Inmovilizado</t>
  </si>
  <si>
    <t>Impuestos diferidos</t>
  </si>
  <si>
    <t>Periodificaciones</t>
  </si>
  <si>
    <t>Efectivo y otros liq.</t>
  </si>
  <si>
    <t>Provisiones</t>
  </si>
  <si>
    <t>Peridificaciones-i.d.</t>
  </si>
  <si>
    <t>PAT. NETO</t>
  </si>
  <si>
    <t>TOTAL  PASIVOS</t>
  </si>
  <si>
    <t>TOT PN+ PASIVO</t>
  </si>
  <si>
    <t>Cuadre Balance</t>
  </si>
  <si>
    <t>▲ No cuadra</t>
  </si>
  <si>
    <t>ACTIVO REDONDEADO</t>
  </si>
  <si>
    <t>PN+PAS REDONDEADO</t>
  </si>
  <si>
    <t>COMPROBACIÓN CUADRE DEL BALANCE</t>
  </si>
  <si>
    <t>Clientes</t>
  </si>
  <si>
    <t>Otras ctas. cobrar</t>
  </si>
  <si>
    <t>Proveedores</t>
  </si>
  <si>
    <t>LIQUIDEZ</t>
  </si>
  <si>
    <t>Fondo de Maniobra</t>
  </si>
  <si>
    <t>Otros FP</t>
  </si>
  <si>
    <t>Cuanto más alto sea este ratio significa que se generan más ventas mediante el activo fijo.</t>
  </si>
  <si>
    <t>Si la empresa tiene activos no funcionales, es mejor usar el ratio ventas divido por el activo funcional (únicamente).</t>
  </si>
  <si>
    <t>RENTABILIDAD</t>
  </si>
  <si>
    <t>Período</t>
  </si>
  <si>
    <t>Liquidez</t>
  </si>
  <si>
    <t>Tesorería (Acid Test)</t>
  </si>
  <si>
    <t>Disponibilidad</t>
  </si>
  <si>
    <t>Estabilidad</t>
  </si>
  <si>
    <t>Consistencia</t>
  </si>
  <si>
    <t>Endeudamiento</t>
  </si>
  <si>
    <t>Endeud. Corto Plazo</t>
  </si>
  <si>
    <t>Autonomía</t>
  </si>
  <si>
    <t>GARANTÍA y estabilidad</t>
  </si>
  <si>
    <t>Ratio Fondo Maniobra</t>
  </si>
  <si>
    <t xml:space="preserve">Inversiones </t>
  </si>
  <si>
    <t>Inversiones</t>
  </si>
  <si>
    <t>Préstamos largo pl.</t>
  </si>
  <si>
    <t>Préstamos corto pl.</t>
  </si>
  <si>
    <t xml:space="preserve">   Disponible ÷ Exigible corto plazo</t>
  </si>
  <si>
    <t xml:space="preserve">   (Disponible + Realizable) ÷ Exigible corto plazo</t>
  </si>
  <si>
    <t xml:space="preserve">   Activo circulante ÷ Exigible corto plazo</t>
  </si>
  <si>
    <t xml:space="preserve">   Fondo de maniobra ÷ Exigible corto plazo</t>
  </si>
  <si>
    <t xml:space="preserve">   (Fondo de maniobra ÷ Ventas) x 360</t>
  </si>
  <si>
    <t xml:space="preserve">   Exigible corto plazo ÷ Patrimonio Neto</t>
  </si>
  <si>
    <t xml:space="preserve">  Patrimonio Neto ÷ Pasivo Total</t>
  </si>
  <si>
    <t xml:space="preserve">   Activo fijo ÷ Exigible a largo plazo</t>
  </si>
  <si>
    <t>BALANCE</t>
  </si>
  <si>
    <t xml:space="preserve"> La rentabilidad debe analizarse desde dos puntos de vista: </t>
  </si>
  <si>
    <t xml:space="preserve">     Beneficio Neto ÷ Patrimonio Neto</t>
  </si>
  <si>
    <t xml:space="preserve">Compara el BENEFICIO NETO con el Patrimonio Neto. </t>
  </si>
  <si>
    <t>Rentabilidad Financiera Neta</t>
  </si>
  <si>
    <t>Rentabilidad Económica Neta</t>
  </si>
  <si>
    <t xml:space="preserve">     Beneficio Neto ÷ Activo total</t>
  </si>
  <si>
    <t xml:space="preserve">Compara el BENEFICIO NETO con el ACTIVO. </t>
  </si>
  <si>
    <t>Mide la correlación entre ambas magnitudes, así ratio 1 significaría que el Beneficio Neto es igual al ACTIVO.</t>
  </si>
  <si>
    <t>Cuanto más alto sea este ratio significa que obtenemos más rentabilidad a los recursos propios (capitales propios).</t>
  </si>
  <si>
    <t>Cuanto más alto sea este ratio significa que obtenemos más productividad al activo.</t>
  </si>
  <si>
    <t xml:space="preserve">     Beneficio Neto ÷ (Patrimonio Neto + Pasivo)</t>
  </si>
  <si>
    <t>Ratio FdM en días</t>
  </si>
  <si>
    <t xml:space="preserve">RATIO IDEAL: </t>
  </si>
  <si>
    <t>Análisis BÁSICO</t>
  </si>
  <si>
    <t>I. Inmovilizado intangible.</t>
  </si>
  <si>
    <t>II. Inmovilizado material.</t>
  </si>
  <si>
    <t>III. Inversiones inmobiliarias.</t>
  </si>
  <si>
    <t>V. Inversiones financieras a largo plazo.</t>
  </si>
  <si>
    <t>VI. Activos por impuesto diferido.</t>
  </si>
  <si>
    <t>I. Activos no corrientes mantenidos para la venta.</t>
  </si>
  <si>
    <t>II. Existencias.</t>
  </si>
  <si>
    <t>III. Deudores comerciales y otras cuentas a cobrar.</t>
  </si>
  <si>
    <t>V. Inversiones financieras a corto plazo.</t>
  </si>
  <si>
    <t>VI. Periodificaciones a corto plazo.</t>
  </si>
  <si>
    <t>VII. Efectivo y otros activos líquidos equivalentes.</t>
  </si>
  <si>
    <t>A) PATRIMONIO NETO</t>
  </si>
  <si>
    <t>A-1) Fondos propios.</t>
  </si>
  <si>
    <t>I. Capital.</t>
  </si>
  <si>
    <t>1. Capital escriturado.</t>
  </si>
  <si>
    <t>2. (Capital no exigido).</t>
  </si>
  <si>
    <t>II. Prima de emisión.</t>
  </si>
  <si>
    <t>III. Reservas.</t>
  </si>
  <si>
    <t>IV. (Acciones y participaciones en patrimonio propias).</t>
  </si>
  <si>
    <t>V. Resultados de ejercicios anteriores.</t>
  </si>
  <si>
    <t>VI. Otras aportaciones de socios.</t>
  </si>
  <si>
    <t>VII. Resultado del ejercicio.</t>
  </si>
  <si>
    <t>VIII. (Dividendo a cuenta).</t>
  </si>
  <si>
    <t>IX. Otros instrumentos de patrimonio neto.</t>
  </si>
  <si>
    <t>A-2) Ajustes por cambios de valor.</t>
  </si>
  <si>
    <t>A-3) Subvenciones, donaciones y legados recibidos.</t>
  </si>
  <si>
    <t>B) PASIVO NO CORRIENTE</t>
  </si>
  <si>
    <t>I. Provisiones a largo plazo.</t>
  </si>
  <si>
    <t>II Deudas a largo plazo.</t>
  </si>
  <si>
    <t>1. Deudas con entidades de crédito.</t>
  </si>
  <si>
    <t>2. Acreedores por arrendamiento financiero.</t>
  </si>
  <si>
    <t>3. Otras deudas a largo plazo .</t>
  </si>
  <si>
    <t>III. Deudas con empresas del grupo y asociadas a largo plazo.</t>
  </si>
  <si>
    <t>IV. Pasivos por impuesto diferido.</t>
  </si>
  <si>
    <t>V. Periodificaciones a largo plazo.</t>
  </si>
  <si>
    <t>C) PASIVO CORRIENTE</t>
  </si>
  <si>
    <t>II. Provisiones a corto plazo.</t>
  </si>
  <si>
    <t>III. Deudas a corto plazo.</t>
  </si>
  <si>
    <t>IV. Deudas con empresas del grupo y asociadas a corto plazo.</t>
  </si>
  <si>
    <t>V. Acreedores comerciales y otras cuentas a pagar.</t>
  </si>
  <si>
    <t>1. Clientes por ventas y prestaciones de servicios</t>
  </si>
  <si>
    <t>2. Accionistas (socios) por desembolsos exigidos</t>
  </si>
  <si>
    <t>3. Otros deudores.</t>
  </si>
  <si>
    <t>3. Otras deudas a corto plazo.</t>
  </si>
  <si>
    <t>1. Proveedores</t>
  </si>
  <si>
    <t>2. Otros acreedores</t>
  </si>
  <si>
    <t>OTROS DATOS PARA EL ANÁLISIS</t>
  </si>
  <si>
    <t xml:space="preserve">   Ventas</t>
  </si>
  <si>
    <t>ROTACIÓN ACTIVOS y días pago/cobro</t>
  </si>
  <si>
    <t>Rotación activo</t>
  </si>
  <si>
    <t>Otras cuentas</t>
  </si>
  <si>
    <t>COMPRAS</t>
  </si>
  <si>
    <t>Rent. Capital</t>
  </si>
  <si>
    <t>Rent. Ventas</t>
  </si>
  <si>
    <t>Proporción de FdM respecto al exigible al corto. En general 0,5 es aceptable.</t>
  </si>
  <si>
    <t>Compara el disponible con el exigible al corto. En general: En torno a 0,3.</t>
  </si>
  <si>
    <t>Compara las deudas con los capitales propios. En general: No mayor que 1.</t>
  </si>
  <si>
    <t>Compara las deudas a corto con los capitales propios. Cuanto menor, mejor.</t>
  </si>
  <si>
    <t>Similar al de endeudamiento, compara capitales propios con deudas totales</t>
  </si>
  <si>
    <t>Compara el activo real con el total de las deudas. En general 1,5, no menor.</t>
  </si>
  <si>
    <t>Compara el activo fijo con las deudas a largo plazo. En general 2.</t>
  </si>
  <si>
    <t xml:space="preserve">   Activo real ÷ Total Pasivo </t>
  </si>
  <si>
    <t>Compara el activo fijo con los recursos permanentes. En general: menor de 1.</t>
  </si>
  <si>
    <t>Compara el activo con las ventas. Cuanto más alto mejor.</t>
  </si>
  <si>
    <t>Compara las ventas con el activo fijo. Cuanto más alto mejor.</t>
  </si>
  <si>
    <t>Días que se tarda en cobrar a los clientes. Cuanto menos, mejor.</t>
  </si>
  <si>
    <t>Días que se tarda en pagar a los proveedores. Cuanto más mejor.</t>
  </si>
  <si>
    <t>ROTACIÓN ACTIVOS</t>
  </si>
  <si>
    <t>Ratios para el análisis</t>
  </si>
  <si>
    <t>Si deseas una mayor precisión, deberás determinar esos valores y modificar la fórmula.</t>
  </si>
  <si>
    <t>Calcula el plazo medio de cobro a los clientes.</t>
  </si>
  <si>
    <t>Calcula el plazo medio de pago a los proveedores.</t>
  </si>
  <si>
    <t>balance</t>
  </si>
  <si>
    <t>comparación circulantes</t>
  </si>
  <si>
    <t>activo</t>
  </si>
  <si>
    <t>pasivo</t>
  </si>
  <si>
    <t>ratio</t>
  </si>
  <si>
    <t>RATIO CORRECTO:</t>
  </si>
  <si>
    <t>ALARMA POR DEBAJO:</t>
  </si>
  <si>
    <t>ALARMA POR ENCIMA:</t>
  </si>
  <si>
    <t>cuadre del balance</t>
  </si>
  <si>
    <t xml:space="preserve"> PAT. NETO y PASIVO</t>
  </si>
  <si>
    <t>análisis DISPONIBILIDAD</t>
  </si>
  <si>
    <t>Realizable más disponible</t>
  </si>
  <si>
    <t>Exigible corto plazo</t>
  </si>
  <si>
    <t>análisis CAPITALIZACIÓN</t>
  </si>
  <si>
    <t>CORRECTO</t>
  </si>
  <si>
    <t>40-50%</t>
  </si>
  <si>
    <t xml:space="preserve"> Parece CORRECTO.</t>
  </si>
  <si>
    <t>Precaución, parece INSUFICIENTE</t>
  </si>
  <si>
    <t>Atención, parece EXCESIVO.</t>
  </si>
  <si>
    <t>análisis ENDEUDAMIENTO</t>
  </si>
  <si>
    <t>Precaución, parece EXCESIVO</t>
  </si>
  <si>
    <t>Demasiado endeudamiento</t>
  </si>
  <si>
    <t>Atención, parece POCO.</t>
  </si>
  <si>
    <t>análisis GARANTÍA</t>
  </si>
  <si>
    <t>1- LIQUIDEZ</t>
  </si>
  <si>
    <t>Análisis rápido de 4 puntos clave</t>
  </si>
  <si>
    <t>2- CAPITALIZACIÓN</t>
  </si>
  <si>
    <t>3- ENDEUDAMIENTO</t>
  </si>
  <si>
    <t>4- GARANTÍA</t>
  </si>
  <si>
    <t xml:space="preserve"> El análisis de balances tiene como objetivo evaluar los siguientes aspectos y responder a las preguntas:</t>
  </si>
  <si>
    <t>TIPOS de ANÁLISIS en función de los datos</t>
  </si>
  <si>
    <t xml:space="preserve">  Para que el análisis resultante sea confiable, hay que tener muy presente los siguientes puntos:</t>
  </si>
  <si>
    <t xml:space="preserve">      En definitiva: a la hora de analizar una empresa debe tenerse muy en cuenta el sector, el tamaño y la zona geográfica</t>
  </si>
  <si>
    <t xml:space="preserve">      donde opera.</t>
  </si>
  <si>
    <t xml:space="preserve">Aquí debes incluir los datos de los balances que quieres analizar. </t>
  </si>
  <si>
    <t>Otras deudas corto</t>
  </si>
  <si>
    <t>FONDO MANIOBRA</t>
  </si>
  <si>
    <t>VENTAS</t>
  </si>
  <si>
    <t>BENEFICIO NETO</t>
  </si>
  <si>
    <t>Rent. Financiera Neta</t>
  </si>
  <si>
    <t>Rent. Económica Neta</t>
  </si>
  <si>
    <t>A veces es denominado: Ratio de solvencia.</t>
  </si>
  <si>
    <t>¿Qué es? ¿Qué mide?</t>
  </si>
  <si>
    <t>Si es mucho menor  de 2, la empresa podría tener problemas de liquidez con riesgo de suspensión de pagos.</t>
  </si>
  <si>
    <t>Naturalmente, cuanto mayor sea este ratio, peor será la situación financiera de la empresa.</t>
  </si>
  <si>
    <t>Mide la relación entre las deudas al corto plazo y los fondos propios (PN).</t>
  </si>
  <si>
    <t>Evalúa lo mismo que el ratio de endeudamiento.</t>
  </si>
  <si>
    <t>Un índice de 2 significa que la mitad del activo es financiado por fondos propios y el resto por recursos ajenos.</t>
  </si>
  <si>
    <t>A veces es denominado: Ratio de firmeza.</t>
  </si>
  <si>
    <t>De lo contrario, el circulante estará financiando parte del inmovilizado.</t>
  </si>
  <si>
    <t>FONDO de MANIOBRA</t>
  </si>
  <si>
    <t>ENDEUDAMIENTO</t>
  </si>
  <si>
    <t>RESUMEN y GRÁFICOS 1</t>
  </si>
  <si>
    <t xml:space="preserve">LISTAS DESPLEGABLES </t>
  </si>
  <si>
    <t>Activo FIJO</t>
  </si>
  <si>
    <t>Activo CIRCULANTE</t>
  </si>
  <si>
    <t>CAPITAL</t>
  </si>
  <si>
    <t>VARIACIÓN ANUAL</t>
  </si>
  <si>
    <t>Activo Fijo</t>
  </si>
  <si>
    <t>Activo Circulante</t>
  </si>
  <si>
    <t>Patrimonio Neto</t>
  </si>
  <si>
    <t>Pasivo Largo  Plazo</t>
  </si>
  <si>
    <t>Pasivo Corto Plazo</t>
  </si>
  <si>
    <t xml:space="preserve">TOTAL </t>
  </si>
  <si>
    <t>P.N. y PASIVO</t>
  </si>
  <si>
    <t>Análisis de los balances</t>
  </si>
  <si>
    <t xml:space="preserve">ENDEUDAMIENTO y autonomía </t>
  </si>
  <si>
    <t>Rotación activo fijo</t>
  </si>
  <si>
    <t>Días cobro clientes</t>
  </si>
  <si>
    <t>(Clientes ÷ Ventas) x 360</t>
  </si>
  <si>
    <t>Días pago proveedores</t>
  </si>
  <si>
    <t>(Proveedores ÷ Compras) x 360</t>
  </si>
  <si>
    <t>Otras cuentas pagar</t>
  </si>
  <si>
    <t>Otras deudas</t>
  </si>
  <si>
    <t xml:space="preserve">Refleja las veces que se ha utilizado el total de activo en la obtención de las ventas. </t>
  </si>
  <si>
    <t>CUENTA RESULTADOS</t>
  </si>
  <si>
    <t>Ratio &gt;1. Si es mucho más alto, es posible que los recursos disponibles se estén infrautilizando (tesorería ociosa).</t>
  </si>
  <si>
    <t>Falta de endeudamiento</t>
  </si>
  <si>
    <t>Días que tarda en regenerarse el FdM con las ventas. Cuanto menos mejor.</t>
  </si>
  <si>
    <t xml:space="preserve">% vs. Total </t>
  </si>
  <si>
    <t>% Rentabilidad neta sobre recursos propios (PN).</t>
  </si>
  <si>
    <t>% Rentabilidad neta sobre total activos.</t>
  </si>
  <si>
    <t>% Rentabilidad neta sobre el capital social.</t>
  </si>
  <si>
    <t>% Rentabilidad neta sobre total ventas.</t>
  </si>
  <si>
    <t>Patrimonio Neto y PASIVO</t>
  </si>
  <si>
    <t>Rentabilidad Recursos Totales</t>
  </si>
  <si>
    <t>ROTACIÓN DE ACTIVOS</t>
  </si>
  <si>
    <t xml:space="preserve">       Ventas ÷ Activo Fijo</t>
  </si>
  <si>
    <t xml:space="preserve">     Ventas ÷ Activo Total</t>
  </si>
  <si>
    <t xml:space="preserve">      serán erróneas. Asegúrate de su fiabilidad antes de comenzar…</t>
  </si>
  <si>
    <t>Recomendaciones</t>
  </si>
  <si>
    <t>A- ACTIVO NO CORRIENTE / ACTIVO FIJO</t>
  </si>
  <si>
    <t>B - ACTIVO CORRIENTE /ACTIVO CIRCULANTE</t>
  </si>
  <si>
    <t>RESUMEN y GRÁFICOS 2</t>
  </si>
  <si>
    <t>DATOS DE LOS BALANCES</t>
  </si>
  <si>
    <t xml:space="preserve">   ANÁLISIS 20 RATIOS</t>
  </si>
  <si>
    <t>MiEmpresa</t>
  </si>
  <si>
    <t xml:space="preserve"> 1º El nombre (denominación) de la empresa o proyecto.</t>
  </si>
  <si>
    <t>Objetivos</t>
  </si>
  <si>
    <t>Los autores</t>
  </si>
  <si>
    <t xml:space="preserve">Recomendaciones para el uso del libro: </t>
  </si>
  <si>
    <t>Ten en cuenta:</t>
  </si>
  <si>
    <t xml:space="preserve">       - Los datos que puedas encontrar son totalmente aleatorios, bórralos antes de comenzar.</t>
  </si>
  <si>
    <t>* Excepto ésta y la hoja SB (que no afectan de modo relevante a la programación y pueden ser ocultadas)</t>
  </si>
  <si>
    <r>
      <t xml:space="preserve">● </t>
    </r>
    <r>
      <rPr>
        <b/>
        <sz val="11"/>
        <color rgb="FF000000"/>
        <rFont val="Segoe UI"/>
        <family val="2"/>
      </rPr>
      <t>En general:</t>
    </r>
  </si>
  <si>
    <r>
      <t>●</t>
    </r>
    <r>
      <rPr>
        <b/>
        <sz val="10"/>
        <color rgb="FF993300"/>
        <rFont val="Segoe UI"/>
        <family val="2"/>
      </rPr>
      <t xml:space="preserve"> </t>
    </r>
    <r>
      <rPr>
        <b/>
        <sz val="10"/>
        <color rgb="FF000000"/>
        <rFont val="Segoe UI"/>
        <family val="2"/>
      </rPr>
      <t>Pon tus datos en la hoja DATOS</t>
    </r>
    <r>
      <rPr>
        <sz val="10"/>
        <color rgb="FF000000"/>
        <rFont val="Segoe UI"/>
        <family val="2"/>
      </rPr>
      <t>, tiene tres secciones numeradas del 1 al 3 (scroll abajo).</t>
    </r>
  </si>
  <si>
    <r>
      <t xml:space="preserve">       - </t>
    </r>
    <r>
      <rPr>
        <sz val="10"/>
        <color rgb="FF000000"/>
        <rFont val="Segoe UI"/>
        <family val="2"/>
      </rPr>
      <t>Las celdas donde debes o puedes introducir datos tienen fondo blanco.</t>
    </r>
  </si>
  <si>
    <t xml:space="preserve">● Una vez hecho lo anterior y con los datos completos, informes, ratios y gráficos se autogenerarán en </t>
  </si>
  <si>
    <t xml:space="preserve">   las hojas siguientes.</t>
  </si>
  <si>
    <t>verificar las fórmulas sólo tienes que mostrar dicha hoja.</t>
  </si>
  <si>
    <t xml:space="preserve">accesibles y la mayoría han sido agrupadas en una hoja oculta (Calc1) para facilitar el trabajo. Para cambiar o </t>
  </si>
  <si>
    <t xml:space="preserve">       - La mayoría de cabeceras de fila o columna (en las hojas operativas) incluyen explicaciones y comentarios, </t>
  </si>
  <si>
    <t xml:space="preserve">         para verlos sólo tienes que seleccionar la celda.</t>
  </si>
  <si>
    <t>Producto y derechos</t>
  </si>
  <si>
    <t xml:space="preserve">El usuario de este libro para Excel© puede usarlo, modificarlo o copiarlo cuanto desee para su uso personal </t>
  </si>
  <si>
    <t>o profesional, puede distribuir cuantas copias quiera pero en ningún caso puede comerciar</t>
  </si>
  <si>
    <t xml:space="preserve"> con él, usarlo con fines comerciales o arrogarse su autoría. </t>
  </si>
  <si>
    <t xml:space="preserve">© versión en español: e.ditor consulting s.l. y los autores </t>
  </si>
  <si>
    <t>Si deseas más información:</t>
  </si>
  <si>
    <r>
      <t>Contactar con los autores:</t>
    </r>
    <r>
      <rPr>
        <b/>
        <sz val="10"/>
        <color rgb="FF000000"/>
        <rFont val="Segoe UI"/>
        <family val="2"/>
      </rPr>
      <t xml:space="preserve"> info@e.ditor.com</t>
    </r>
  </si>
  <si>
    <r>
      <t>Dudas, consultas o asistencia:</t>
    </r>
    <r>
      <rPr>
        <b/>
        <sz val="10"/>
        <color rgb="FF000000"/>
        <rFont val="Segoe UI"/>
        <family val="2"/>
      </rPr>
      <t xml:space="preserve"> atencion@e.ditor.com</t>
    </r>
  </si>
  <si>
    <t>Excel© es una marca registrada de Microsoft Corporation</t>
  </si>
  <si>
    <t>Muchas gracias por tu confianza,</t>
  </si>
  <si>
    <t xml:space="preserve">   Si tienes alguna sugerencia, comentario o detectas algún error en este producto, por favor, ponte en contacto </t>
  </si>
  <si>
    <t xml:space="preserve">   con nosotros</t>
  </si>
  <si>
    <r>
      <t xml:space="preserve"> 2- La situación de ENDEUDAMIENTO</t>
    </r>
    <r>
      <rPr>
        <sz val="10"/>
        <rFont val="Segoe UI"/>
        <family val="2"/>
      </rPr>
      <t xml:space="preserve">:  ¿La deuda de la empresa es correcta, tanto cuantitativamente como </t>
    </r>
  </si>
  <si>
    <r>
      <t xml:space="preserve"> 3- La CAPITALIZACIÓN</t>
    </r>
    <r>
      <rPr>
        <sz val="10"/>
        <rFont val="Segoe UI"/>
        <family val="2"/>
      </rPr>
      <t>:  ¿La empresa dispone de suficientes capitales propios que le permiten cierto grado de</t>
    </r>
  </si>
  <si>
    <r>
      <t xml:space="preserve"> 1- La situación de LIQUIDEZ</t>
    </r>
    <r>
      <rPr>
        <sz val="10"/>
        <rFont val="Segoe UI"/>
        <family val="2"/>
      </rPr>
      <t xml:space="preserve"> (solvencia):  ¿La empresa podrá hacer frente a los pagos comprometidos?  </t>
    </r>
  </si>
  <si>
    <t>Sobretodo a medio y corto plazo.</t>
  </si>
  <si>
    <r>
      <t xml:space="preserve"> 1- Análisis ESTÁTICO</t>
    </r>
    <r>
      <rPr>
        <sz val="10"/>
        <rFont val="Segoe UI"/>
        <family val="2"/>
      </rPr>
      <t>:  Análisis de un solo Balance de Situación.</t>
    </r>
  </si>
  <si>
    <r>
      <t xml:space="preserve"> 3- Análisis HISTÓRICO o PREVISIONAL</t>
    </r>
    <r>
      <rPr>
        <sz val="10"/>
        <rFont val="Segoe UI"/>
        <family val="2"/>
      </rPr>
      <t xml:space="preserve">:  Naturalmente, el análisis puede hacerse sobre datos históricos (reales) </t>
    </r>
  </si>
  <si>
    <t xml:space="preserve">     o sobre datos previsionales (previsiones a futuro).</t>
  </si>
  <si>
    <r>
      <t>ACTIVO : ACTIVO TOTAL</t>
    </r>
    <r>
      <rPr>
        <sz val="10"/>
        <rFont val="Segoe UI"/>
        <family val="2"/>
      </rPr>
      <t xml:space="preserve"> (activo fijo + activo circulante) - Assets</t>
    </r>
  </si>
  <si>
    <r>
      <t>ACTIVO REAL</t>
    </r>
    <r>
      <rPr>
        <sz val="10"/>
        <rFont val="Segoe UI"/>
        <family val="2"/>
      </rPr>
      <t>: activo total menos activos ficticios menos activos inmateriales sin valor de realización.</t>
    </r>
  </si>
  <si>
    <r>
      <t>ACTIVO FIJO</t>
    </r>
    <r>
      <rPr>
        <sz val="10"/>
        <rFont val="Segoe UI"/>
        <family val="2"/>
      </rPr>
      <t>:  Activo NO Corriente - Activo Inmovilizado - Long Term Assets</t>
    </r>
  </si>
  <si>
    <r>
      <t>ACTIVO CIRCULANTE</t>
    </r>
    <r>
      <rPr>
        <sz val="10"/>
        <rFont val="Segoe UI"/>
        <family val="2"/>
      </rPr>
      <t>: Activo Corriente - Short Term Assets</t>
    </r>
  </si>
  <si>
    <r>
      <t xml:space="preserve">EXISTENCIAS: </t>
    </r>
    <r>
      <rPr>
        <sz val="10"/>
        <rFont val="Segoe UI"/>
        <family val="2"/>
      </rPr>
      <t>Stock, inventario, material disponible para la venta.</t>
    </r>
  </si>
  <si>
    <r>
      <t xml:space="preserve">TESORERÍA: </t>
    </r>
    <r>
      <rPr>
        <sz val="10"/>
        <rFont val="Segoe UI"/>
        <family val="2"/>
      </rPr>
      <t>Disponible, efectivo y otros activos líquidos, cash.</t>
    </r>
  </si>
  <si>
    <r>
      <t>PATRIMONIO NETO</t>
    </r>
    <r>
      <rPr>
        <sz val="10"/>
        <rFont val="Segoe UI"/>
        <family val="2"/>
      </rPr>
      <t xml:space="preserve">: Recursos Propios - Fondos propios - Pasivo NO exigible - Capital </t>
    </r>
  </si>
  <si>
    <r>
      <t>PASIVO</t>
    </r>
    <r>
      <rPr>
        <sz val="10"/>
        <rFont val="Segoe UI"/>
        <family val="2"/>
      </rPr>
      <t>: Pasivo exigible - Recursos Ajenos - Liabilities</t>
    </r>
  </si>
  <si>
    <r>
      <t>EXIGIBLE A LARGO PLAZO</t>
    </r>
    <r>
      <rPr>
        <sz val="10"/>
        <rFont val="Segoe UI"/>
        <family val="2"/>
      </rPr>
      <t>: Pasivo NO corriente - Pasivo a largo plazo - Long Term Liabilities.</t>
    </r>
  </si>
  <si>
    <r>
      <t>EXIGIBLE A CORTO PLAZO</t>
    </r>
    <r>
      <rPr>
        <sz val="10"/>
        <rFont val="Segoe UI"/>
        <family val="2"/>
      </rPr>
      <t>: Pasivo Corriente - Pasivo Circulante - Short Term Liabilities</t>
    </r>
  </si>
  <si>
    <r>
      <t>RECURSOS PERMANENTES</t>
    </r>
    <r>
      <rPr>
        <sz val="10"/>
        <rFont val="Segoe UI"/>
        <family val="2"/>
      </rPr>
      <t>: Patrimonio Neto + Exigible a largo plazo.</t>
    </r>
  </si>
  <si>
    <r>
      <t>FONDO de MANIOBRA</t>
    </r>
    <r>
      <rPr>
        <sz val="10"/>
        <rFont val="Segoe UI"/>
        <family val="2"/>
      </rPr>
      <t>: Capital de trabajo - Fondo de Rotación - Working Capital</t>
    </r>
  </si>
  <si>
    <r>
      <t>MARGEN BRUTO</t>
    </r>
    <r>
      <rPr>
        <sz val="10"/>
        <rFont val="Segoe UI"/>
        <family val="2"/>
      </rPr>
      <t>: Ventas menos Coste de las ventas - Gross Margin</t>
    </r>
  </si>
  <si>
    <r>
      <t>RESULTADO OPERATIVO</t>
    </r>
    <r>
      <rPr>
        <sz val="10"/>
        <rFont val="Segoe UI"/>
        <family val="2"/>
      </rPr>
      <t>: Resultado de la explotación - Beneficio operativo. EBITDA más amortizaciones:EBITA.</t>
    </r>
  </si>
  <si>
    <r>
      <t>Resultado - BAII</t>
    </r>
    <r>
      <rPr>
        <sz val="10"/>
        <rFont val="Segoe UI"/>
        <family val="2"/>
      </rPr>
      <t>: Beneficio antes de intereses (ingresos y gastos financieros) e impuestos.</t>
    </r>
  </si>
  <si>
    <r>
      <t>RESULTADO FINANCIERO</t>
    </r>
    <r>
      <rPr>
        <sz val="10"/>
        <rFont val="Segoe UI"/>
        <family val="2"/>
      </rPr>
      <t>:  Ingresos financieros - gastos financieros.</t>
    </r>
  </si>
  <si>
    <r>
      <t>BENEFICIO BRUTO</t>
    </r>
    <r>
      <rPr>
        <sz val="10"/>
        <rFont val="Segoe UI"/>
        <family val="2"/>
      </rPr>
      <t>: Beneficio antes de impuestos - Resultado antes de impuestos - BAI. Gross Profit.</t>
    </r>
  </si>
  <si>
    <r>
      <t>BENEFICIO NETO</t>
    </r>
    <r>
      <rPr>
        <sz val="10"/>
        <rFont val="Segoe UI"/>
        <family val="2"/>
      </rPr>
      <t>: Beneficio después de impuestos - Resultado Neto - Resultado después de impuestos - Net Profit</t>
    </r>
  </si>
  <si>
    <r>
      <t>AMORTIZACIONES</t>
    </r>
    <r>
      <rPr>
        <sz val="10"/>
        <rFont val="Segoe UI"/>
        <family val="2"/>
      </rPr>
      <t>: Depreciaciones - depreciations.</t>
    </r>
  </si>
  <si>
    <t>Denominaciones</t>
  </si>
  <si>
    <t xml:space="preserve">    para visualizar hacia dónde va la empresa.</t>
  </si>
  <si>
    <t xml:space="preserve">     Es bueno recordar siempre que si la certeza existe es únicamente sobre la realidad (datos históricos) y que los </t>
  </si>
  <si>
    <t xml:space="preserve">     balances previsionales sólo son "fiables" si se refieren a un futuro cercano al último balance histórico. Los </t>
  </si>
  <si>
    <t xml:space="preserve">     balances previsionales a plazos largos sólo sirven para señalar una tendencia.</t>
  </si>
  <si>
    <r>
      <t xml:space="preserve">REALIZABLE: </t>
    </r>
    <r>
      <rPr>
        <sz val="10"/>
        <rFont val="Segoe UI"/>
        <family val="2"/>
      </rPr>
      <t xml:space="preserve">Saldos pendientes de los clientes y cualquier otro activo realizable (convertible en dinero) a corto </t>
    </r>
  </si>
  <si>
    <t>plazo.</t>
  </si>
  <si>
    <r>
      <t>COSTE DE LAS VENTAS</t>
    </r>
    <r>
      <rPr>
        <sz val="10"/>
        <rFont val="Segoe UI"/>
        <family val="2"/>
      </rPr>
      <t xml:space="preserve">: Consumo más gastos directos generados por la producción o prestación del servicio - </t>
    </r>
  </si>
  <si>
    <t>Cost of Sales / Cost of goods (según caso).</t>
  </si>
  <si>
    <t xml:space="preserve">Generalmente en las hojas los cálculos se realizan entendiendo por ventas "ingresos operativos" (ventas + otros </t>
  </si>
  <si>
    <t>ingresos).</t>
  </si>
  <si>
    <r>
      <t>E.B.I.T.D.A.</t>
    </r>
    <r>
      <rPr>
        <sz val="10"/>
        <rFont val="Segoe UI"/>
        <family val="2"/>
      </rPr>
      <t xml:space="preserve">: Resultado operativo más amortizaciones (depreciaciones). Earnings Before Interest Taxes </t>
    </r>
  </si>
  <si>
    <t>Depreciations &amp; Amortizations</t>
  </si>
  <si>
    <r>
      <t xml:space="preserve">RATIO IDEAL: 2 </t>
    </r>
    <r>
      <rPr>
        <i/>
        <sz val="11"/>
        <color theme="5" tint="-0.249977111117893"/>
        <rFont val="Segoe UI"/>
        <family val="2"/>
      </rPr>
      <t>o ligeramente por arriba o abajo según sector.</t>
    </r>
  </si>
  <si>
    <t xml:space="preserve">Hace lo mismo que en el caso anterior pero sin tener en cuenta los stocks, mide la distancia a la suspensión de </t>
  </si>
  <si>
    <t>pagos. En empresas de servicios (sin existencias), este ratio será el mismo que el de liquidez.</t>
  </si>
  <si>
    <t xml:space="preserve">Ratio &lt;1. Si es mucho más bajo de 1, es posible que la empresa tenga problemas para afrontar los pagos e, </t>
  </si>
  <si>
    <t>incluso, suspenderlos.</t>
  </si>
  <si>
    <t>Compara las deudas a corto plazo con el disponible. Evalúa la capacidad de hacer frente a los pagos a corto plazo</t>
  </si>
  <si>
    <t xml:space="preserve"> con el dinero que tienes hoy.</t>
  </si>
  <si>
    <t xml:space="preserve">Este es un ratio complementario y que - para que sea efectivo - debe tomarse un valor medio pues la </t>
  </si>
  <si>
    <t>disponibilidad varía mucho durante el ejercicio.</t>
  </si>
  <si>
    <t>ratio siguiente.</t>
  </si>
  <si>
    <t>Tómalo como una referencia complementaria a los anteriores y si es muy bajo, analiza la tesorería previsional y el</t>
  </si>
  <si>
    <t>SIGNIFICADO DE LOS RATIOS Y CÁLCULO</t>
  </si>
  <si>
    <t xml:space="preserve">Mayor que 1 puede indicar que los fondos propios son insuficientes; la empresa depende en exceso de sus </t>
  </si>
  <si>
    <t>acreedores y su situación financiera puede ser de riesgo.</t>
  </si>
  <si>
    <t xml:space="preserve">Es posible que incrementado los recursos ajenos el porcentaje de beneficios de la empresa se incrementase. </t>
  </si>
  <si>
    <t xml:space="preserve">La comparación con el ratio anterior nos ofrecerá una visión respecto a la calidad de la deuda (similar a la del </t>
  </si>
  <si>
    <t>ratio de ese nombre).</t>
  </si>
  <si>
    <t>GARANTÍA y ESTABILIDAD</t>
  </si>
  <si>
    <t xml:space="preserve">Esto significa que la mitad del inmovilizado es financiado mediante préstamos a largo plazo y el resto con fondos </t>
  </si>
  <si>
    <t>propios.</t>
  </si>
  <si>
    <t xml:space="preserve">Compara el activo fijo (inmovilizado) con las deudas a largo plazo y representa el grado de seguridad que </t>
  </si>
  <si>
    <t>se ofrece.</t>
  </si>
  <si>
    <t>FONDO DE MANIOBRA (Capital de trabajo)</t>
  </si>
  <si>
    <t xml:space="preserve"> Pasivo Total ÷ Patrimonio Neto</t>
  </si>
  <si>
    <t xml:space="preserve">Mide la correlación entre ambas magnitudes, así ratio 1 significaría que el Beneficio Neto es igual al Patrimonio </t>
  </si>
  <si>
    <t>Neto, por encima de 1 es más el Beneficio Neto que el Patrimonio Neto.</t>
  </si>
  <si>
    <t xml:space="preserve">Compara el BENEFICIO NETO con la suma de PN y PASIVO, es decir: indica la rentabilidad que obtenemos al </t>
  </si>
  <si>
    <t xml:space="preserve">Cuanto más alto sea este ratio significa que obtenemos más rentabilidad a los recursos de la empresa: </t>
  </si>
  <si>
    <t>RENTABILIDAD FINANCIERA GLOBAL.</t>
  </si>
  <si>
    <t>comparan varios años.</t>
  </si>
  <si>
    <t>y, por tanto, a un coste menor.</t>
  </si>
  <si>
    <t xml:space="preserve">Interesa que su valor sea lo más elevado posible, ya que significa un buen aprovechamiento de los recursos </t>
  </si>
  <si>
    <t>disponibles.</t>
  </si>
  <si>
    <t xml:space="preserve">Ten en cuenta que el ratio "perfecto" es: (clientes + efectos a cobrar + efectos descontados pendientes </t>
  </si>
  <si>
    <t>de vencimiento) ÷ Ventas.</t>
  </si>
  <si>
    <t xml:space="preserve">Cuanto mayor sea el plazo, mejor para la empresa, en cualquier caso siempre debe ser superior al de cobro a </t>
  </si>
  <si>
    <t>los clientes.</t>
  </si>
  <si>
    <r>
      <t xml:space="preserve"> </t>
    </r>
    <r>
      <rPr>
        <b/>
        <sz val="10"/>
        <rFont val="Segoe UI"/>
        <family val="2"/>
      </rPr>
      <t xml:space="preserve"> 1º Fiabilidad de los datos:</t>
    </r>
    <r>
      <rPr>
        <sz val="10"/>
        <rFont val="Tahoma"/>
        <family val="2"/>
      </rPr>
      <t xml:space="preserve"> Si los datos no son fiables o las valoraciones no son correctas, las conclusiones del análisis siempre</t>
    </r>
  </si>
  <si>
    <r>
      <rPr>
        <b/>
        <sz val="10"/>
        <rFont val="Segoe UI"/>
        <family val="2"/>
      </rPr>
      <t xml:space="preserve">  2º Valores significativos:</t>
    </r>
    <r>
      <rPr>
        <sz val="10"/>
        <rFont val="Tahoma"/>
        <family val="2"/>
      </rPr>
      <t xml:space="preserve"> Para un análisis preciso, hay que procurar que los datos sean realmente representativos y no sólo el  </t>
    </r>
  </si>
  <si>
    <r>
      <t xml:space="preserve">  </t>
    </r>
    <r>
      <rPr>
        <b/>
        <sz val="10"/>
        <rFont val="Segoe UI"/>
        <family val="2"/>
      </rPr>
      <t>3º Diferencias sectoriales:</t>
    </r>
    <r>
      <rPr>
        <sz val="10"/>
        <rFont val="Tahoma"/>
        <family val="2"/>
      </rPr>
      <t xml:space="preserve"> Los ratios y valoraciones que se hacen en este libro hacen referencia a valores ideales y genéricos… </t>
    </r>
  </si>
  <si>
    <r>
      <rPr>
        <b/>
        <sz val="10"/>
        <rFont val="Segoe UI"/>
        <family val="2"/>
      </rPr>
      <t xml:space="preserve">  4º Tamaño de la empresa y zona geográfica:</t>
    </r>
    <r>
      <rPr>
        <sz val="10"/>
        <rFont val="Tahoma"/>
        <family val="2"/>
      </rPr>
      <t xml:space="preserve"> El mismo comentario anterior (diferencias sectoriales) hay que hacerlo respecto </t>
    </r>
  </si>
  <si>
    <t xml:space="preserve">      reflejo de la situación en un momento excepcional. Por ejemplo, puede pasar que los importes de ciertas cuentas (existencias, </t>
  </si>
  <si>
    <t xml:space="preserve">      caja …) a final de año no sean valores demasiado "normales". En estos casos, si se desea una mayor  fiabilidad, será necesario </t>
  </si>
  <si>
    <t xml:space="preserve">      obtener un valor promedio anual.   </t>
  </si>
  <si>
    <r>
      <t xml:space="preserve"> 2º El ejercicio inicial (el más reciente), la hoja pondrá el resto</t>
    </r>
    <r>
      <rPr>
        <sz val="10"/>
        <rFont val="Tahoma"/>
        <family val="2"/>
      </rPr>
      <t>.</t>
    </r>
  </si>
  <si>
    <r>
      <t xml:space="preserve"> 3º Los datos (balances y datos varios) siguiendo los criterios incluidos en la hoja</t>
    </r>
    <r>
      <rPr>
        <sz val="10"/>
        <rFont val="Tahoma"/>
        <family val="2"/>
      </rPr>
      <t>.</t>
    </r>
  </si>
  <si>
    <r>
      <t>Rentabilidad</t>
    </r>
    <r>
      <rPr>
        <b/>
        <sz val="11"/>
        <rFont val="Segoe UI"/>
        <family val="2"/>
      </rPr>
      <t xml:space="preserve"> Financiera</t>
    </r>
  </si>
  <si>
    <r>
      <t xml:space="preserve">Rentabilidad </t>
    </r>
    <r>
      <rPr>
        <b/>
        <sz val="11"/>
        <rFont val="Segoe UI"/>
        <family val="2"/>
      </rPr>
      <t>Económica</t>
    </r>
  </si>
  <si>
    <r>
      <t>Rentabilidad del</t>
    </r>
    <r>
      <rPr>
        <b/>
        <sz val="11"/>
        <rFont val="Segoe UI"/>
        <family val="2"/>
      </rPr>
      <t xml:space="preserve"> Capital</t>
    </r>
  </si>
  <si>
    <r>
      <t xml:space="preserve">Rentabilidad de las </t>
    </r>
    <r>
      <rPr>
        <b/>
        <sz val="11"/>
        <rFont val="Segoe UI"/>
        <family val="2"/>
      </rPr>
      <t>Ventas</t>
    </r>
  </si>
  <si>
    <r>
      <t xml:space="preserve">FONDO de MANIOBRA </t>
    </r>
    <r>
      <rPr>
        <sz val="14"/>
        <color indexed="9"/>
        <rFont val="Segoe UI"/>
        <family val="2"/>
      </rPr>
      <t>(Capital de trabajo)</t>
    </r>
  </si>
  <si>
    <r>
      <t>Ratio</t>
    </r>
    <r>
      <rPr>
        <b/>
        <sz val="11"/>
        <rFont val="Segoe UI"/>
        <family val="2"/>
      </rPr>
      <t xml:space="preserve"> Fondo Maniobra</t>
    </r>
  </si>
  <si>
    <r>
      <t xml:space="preserve">Ratio </t>
    </r>
    <r>
      <rPr>
        <b/>
        <sz val="11"/>
        <rFont val="Segoe UI"/>
        <family val="2"/>
      </rPr>
      <t>FdM en días</t>
    </r>
  </si>
  <si>
    <r>
      <t>Tesorería</t>
    </r>
    <r>
      <rPr>
        <sz val="11"/>
        <rFont val="Segoe UI"/>
        <family val="2"/>
      </rPr>
      <t xml:space="preserve"> (Acid Test)</t>
    </r>
  </si>
  <si>
    <r>
      <t>Endeudamiento</t>
    </r>
    <r>
      <rPr>
        <b/>
        <sz val="11"/>
        <rFont val="Segoe UI"/>
        <family val="2"/>
      </rPr>
      <t xml:space="preserve"> Corto Plazo</t>
    </r>
  </si>
  <si>
    <r>
      <t>Días cobro</t>
    </r>
    <r>
      <rPr>
        <sz val="11"/>
        <rFont val="Segoe UI"/>
        <family val="2"/>
      </rPr>
      <t xml:space="preserve"> clientes</t>
    </r>
  </si>
  <si>
    <r>
      <t>Días pago</t>
    </r>
    <r>
      <rPr>
        <sz val="11"/>
        <rFont val="Segoe UI"/>
        <family val="2"/>
      </rPr>
      <t xml:space="preserve"> proveedores</t>
    </r>
  </si>
  <si>
    <r>
      <t xml:space="preserve">Diferencia entre el circulante y el exigible al corto. FdM. </t>
    </r>
    <r>
      <rPr>
        <sz val="9"/>
        <rFont val="Segoe UI"/>
        <family val="2"/>
      </rPr>
      <t>Siempre debe ser positivo.</t>
    </r>
  </si>
  <si>
    <r>
      <t xml:space="preserve">Compara el circulante con el exigible a corto. En general: lejos de 1 </t>
    </r>
    <r>
      <rPr>
        <sz val="9"/>
        <rFont val="Segoe UI"/>
        <family val="2"/>
      </rPr>
      <t>(cercano a 2).</t>
    </r>
  </si>
  <si>
    <r>
      <t xml:space="preserve">Compara el disponible mas el realizable con el ex. Corto. General: </t>
    </r>
    <r>
      <rPr>
        <sz val="9"/>
        <rFont val="Segoe UI"/>
        <family val="2"/>
      </rPr>
      <t>En torno a 1.</t>
    </r>
  </si>
  <si>
    <t>Uso de la hoja</t>
  </si>
  <si>
    <r>
      <t>Criterio general</t>
    </r>
    <r>
      <rPr>
        <u/>
        <sz val="14"/>
        <rFont val="Segoe UI"/>
        <family val="2"/>
      </rPr>
      <t xml:space="preserve"> </t>
    </r>
    <r>
      <rPr>
        <b/>
        <u/>
        <sz val="14"/>
        <rFont val="Segoe UI"/>
        <family val="2"/>
      </rPr>
      <t>para el análisis</t>
    </r>
    <r>
      <rPr>
        <b/>
        <u/>
        <sz val="11"/>
        <rFont val="Segoe UI"/>
        <family val="2"/>
      </rPr>
      <t xml:space="preserve"> </t>
    </r>
    <r>
      <rPr>
        <u/>
        <sz val="11"/>
        <color indexed="23"/>
        <rFont val="Segoe UI"/>
        <family val="2"/>
      </rPr>
      <t>(tomarlo con precaución)</t>
    </r>
  </si>
  <si>
    <r>
      <t xml:space="preserve">Ratio de </t>
    </r>
    <r>
      <rPr>
        <b/>
        <sz val="12"/>
        <rFont val="Segoe UI"/>
        <family val="2"/>
      </rPr>
      <t>CONSISTENCIA</t>
    </r>
  </si>
  <si>
    <t>o activos inmateriales sin valor de realización. Si este ratio es importante en tu caso, deberás verificar los cálculos</t>
  </si>
  <si>
    <t>realizados por la hoja y, sobretodo, ajustar ese activo real.</t>
  </si>
  <si>
    <r>
      <t xml:space="preserve">      </t>
    </r>
    <r>
      <rPr>
        <sz val="10"/>
        <rFont val="Tahoma"/>
        <family val="2"/>
      </rPr>
      <t>Es importante tener en cuenta que cada sector tiene unas especificidades diferenciales que obligan a  distinguir cada empresa</t>
    </r>
  </si>
  <si>
    <t>cualitativamente?</t>
  </si>
  <si>
    <t xml:space="preserve"> independencia financiera?</t>
  </si>
  <si>
    <r>
      <t xml:space="preserve"> 4- La situación de GARANTÍA</t>
    </r>
    <r>
      <rPr>
        <sz val="10"/>
        <rFont val="Segoe UI"/>
        <family val="2"/>
      </rPr>
      <t>:  ¿La empresa tiene suficientes garantías patrimoniales frente a terceros?</t>
    </r>
  </si>
  <si>
    <r>
      <t xml:space="preserve"> 5- La GESTIÓN de los activos</t>
    </r>
    <r>
      <rPr>
        <sz val="10"/>
        <rFont val="Segoe UI"/>
        <family val="2"/>
      </rPr>
      <t>:  ¿Es eficiente la gestión de los activos de la empresa?</t>
    </r>
  </si>
  <si>
    <r>
      <t xml:space="preserve"> 7- La CAPACIDAD de generar riqueza</t>
    </r>
    <r>
      <rPr>
        <sz val="10"/>
        <rFont val="Segoe UI"/>
        <family val="2"/>
      </rPr>
      <t>:  ¿La rentabilidad y la capacidad de autofinanciación es suficiente?</t>
    </r>
  </si>
  <si>
    <r>
      <t xml:space="preserve"> 8- El CRECIMIENTO (análisis dinámico)</t>
    </r>
    <r>
      <rPr>
        <sz val="10"/>
        <rFont val="Segoe UI"/>
        <family val="2"/>
      </rPr>
      <t>:  ¿La empresa crece realmente y lo hace de forma equilibrada?</t>
    </r>
  </si>
  <si>
    <r>
      <t xml:space="preserve">  </t>
    </r>
    <r>
      <rPr>
        <b/>
        <sz val="10"/>
        <color theme="9" tint="-0.499984740745262"/>
        <rFont val="Segoe UI"/>
        <family val="2"/>
      </rPr>
      <t xml:space="preserve">  Muchas gracias por vuestra confianza,                                                                                                                         </t>
    </r>
    <r>
      <rPr>
        <b/>
        <i/>
        <sz val="10"/>
        <color theme="9" tint="-0.499984740745262"/>
        <rFont val="Segoe UI"/>
        <family val="2"/>
      </rPr>
      <t xml:space="preserve"> </t>
    </r>
  </si>
  <si>
    <r>
      <t>●</t>
    </r>
    <r>
      <rPr>
        <sz val="10"/>
        <color theme="5" tint="-0.249977111117893"/>
        <rFont val="Segoe UI"/>
        <family val="2"/>
      </rPr>
      <t xml:space="preserve"> </t>
    </r>
    <r>
      <rPr>
        <b/>
        <sz val="10"/>
        <color rgb="FFFF0000"/>
        <rFont val="Segoe UI"/>
        <family val="2"/>
      </rPr>
      <t xml:space="preserve">En su versión libre: </t>
    </r>
    <r>
      <rPr>
        <b/>
        <sz val="10"/>
        <color rgb="FF000000"/>
        <rFont val="Segoe UI"/>
        <family val="2"/>
      </rPr>
      <t>El libro es totalmente* adaptable y modificable,</t>
    </r>
    <r>
      <rPr>
        <sz val="10"/>
        <color rgb="FF000000"/>
        <rFont val="Segoe UI"/>
        <family val="2"/>
      </rPr>
      <t xml:space="preserve"> todas las fórmulas son fácilmente</t>
    </r>
  </si>
  <si>
    <r>
      <t xml:space="preserve">Debes poner tus datos en las celdas que tienen fondo blanco. </t>
    </r>
    <r>
      <rPr>
        <sz val="12"/>
        <color theme="5" tint="-0.249977111117893"/>
        <rFont val="Segoe UI"/>
        <family val="2"/>
      </rPr>
      <t>Pon:</t>
    </r>
  </si>
  <si>
    <t>Libro gratuito para Excel® basado en un original de A.M. Dunyó y R. Zaccaria</t>
  </si>
  <si>
    <t>Análisis de RATIOS</t>
  </si>
  <si>
    <t>Pídenos la versión libre: atención@e.ditor.com</t>
  </si>
  <si>
    <t>ANÁLISIS de 4 PUNTOS CLAVE</t>
  </si>
  <si>
    <t xml:space="preserve">Análisis fácil de los Estados Financieros - versión 9.0  </t>
  </si>
  <si>
    <t>Producto: PE169L v9.0  Análisis Financiero Fácil</t>
  </si>
  <si>
    <t xml:space="preserve">             </t>
  </si>
  <si>
    <t>Denominación :</t>
  </si>
  <si>
    <t xml:space="preserve">  Notas</t>
  </si>
  <si>
    <t xml:space="preserve">      </t>
  </si>
  <si>
    <t xml:space="preserve">          Este libro tiene como objetivo facilitar al máximo el análisis de los balances de una empresa</t>
  </si>
  <si>
    <t xml:space="preserve">          Sus contenidos y explicaciones han sido elaborados desde una perspectiva práctica, nos hemos esforzado en usar </t>
  </si>
  <si>
    <t xml:space="preserve">          un lenguaje no técnico, con el objetivo de lograr una mayor comprensión de los conceptos por parte de los </t>
  </si>
  <si>
    <t xml:space="preserve">          usuarios cuya finalidad es usarlos en la vida  cotidiana de su empresa. </t>
  </si>
  <si>
    <t xml:space="preserve">          Por todo ello, es posible que los expertos hallen en nuestros comentarios algunas imperfecciones conceptuales, </t>
  </si>
  <si>
    <t xml:space="preserve">         les pedimos disculpas  y agradeceremos cualquier sugerencia que se nos haga al respecto.</t>
  </si>
  <si>
    <r>
      <t>● Puedes analizar desde un solo balance hasta un máximo de 5,</t>
    </r>
    <r>
      <rPr>
        <i/>
        <sz val="10"/>
        <color rgb="FF000000"/>
        <rFont val="Segoe UI"/>
        <family val="2"/>
      </rPr>
      <t xml:space="preserve"> no es preciso incluir datos en todas</t>
    </r>
  </si>
  <si>
    <t xml:space="preserve"> las columnas. Usa sólo las que precises.</t>
  </si>
  <si>
    <r>
      <t xml:space="preserve">● </t>
    </r>
    <r>
      <rPr>
        <b/>
        <sz val="10"/>
        <color rgb="FF000000"/>
        <rFont val="Segoe UI"/>
        <family val="2"/>
      </rPr>
      <t>No es obligatorio incluir todos los datos</t>
    </r>
    <r>
      <rPr>
        <sz val="10"/>
        <color rgb="FF000000"/>
        <rFont val="Segoe UI"/>
        <family val="2"/>
      </rPr>
      <t xml:space="preserve"> (aunque siempre es lo mejor), la hoja calculará los ratios que</t>
    </r>
  </si>
  <si>
    <t xml:space="preserve"> pueda en función de los datos incluidos.</t>
  </si>
  <si>
    <t xml:space="preserve">       - Antes de ponerte a trabajar, haz una copia del fichero original y guárdala, así lo tendrás </t>
  </si>
  <si>
    <t xml:space="preserve">         siempre disponible.</t>
  </si>
  <si>
    <t xml:space="preserve">Te contestaremos inmediatamente y, si es el caso, lo resolveremos a la mayor brevedad y te reenviaremos </t>
  </si>
  <si>
    <t>la hoja reparada sin ningún coste.</t>
  </si>
  <si>
    <t xml:space="preserve">Si nos haces saber tus sugerencias y son factibles, las incluiremos y te enviaremos gratuitamente la nueva </t>
  </si>
  <si>
    <t>versión en cuanto esté disponible.</t>
  </si>
  <si>
    <r>
      <t xml:space="preserve"> 6- La situación de EQUILIBRIO FINANCIERO</t>
    </r>
    <r>
      <rPr>
        <sz val="10"/>
        <rFont val="Segoe UI"/>
        <family val="2"/>
      </rPr>
      <t xml:space="preserve">:  ¿El balance está suficientemente equilibrado? El nivel de </t>
    </r>
  </si>
  <si>
    <t xml:space="preserve"> adecuación entre las tendencias a la liquidez de los activos y a la exigibilidad de los pasivos ¿Es correcto?</t>
  </si>
  <si>
    <t>puede ser:</t>
  </si>
  <si>
    <r>
      <t xml:space="preserve"> 2- Análisis DINÁMICO</t>
    </r>
    <r>
      <rPr>
        <sz val="10"/>
        <rFont val="Segoe UI"/>
        <family val="2"/>
      </rPr>
      <t xml:space="preserve">:  Análisis de dos o más balances, tiene la ventaja de que nos permite analizar su </t>
    </r>
  </si>
  <si>
    <t xml:space="preserve">     evolución (positiva o negativa)  y visualizar el corto plazo.</t>
  </si>
  <si>
    <t xml:space="preserve">Los ratios que se incluyen a continuación, evalúan el endeudamiento desde distintas ópticas: Respecto al </t>
  </si>
  <si>
    <t xml:space="preserve">Patrimonio Neto (capitales propios), respecto a los activos, en relación a la capacidad de la empresa para </t>
  </si>
  <si>
    <t>generar fondos yretornar dichos préstamos, etc.</t>
  </si>
  <si>
    <t>En general, lo primero que debe evaluarse es si el ratio de endeudamiento respecto a los capitales propios</t>
  </si>
  <si>
    <t xml:space="preserve">(PN) es adecuado, debe tenerse en cuenta que en muchos países, los administradores de las empresas </t>
  </si>
  <si>
    <t>tienen obligaciones legales en caso de que la empresa no cumpla ciertos ratios.</t>
  </si>
  <si>
    <t xml:space="preserve">Relaciona los fondos ajenos con el patrimonio neto (fondos propios de la empresa), ratio 1 será PN igual </t>
  </si>
  <si>
    <t>al total de las deudas de la empresa.</t>
  </si>
  <si>
    <t xml:space="preserve">En general se considera que las deudas no deben superar a los fondos propios (el ratio no debería </t>
  </si>
  <si>
    <t>ser superior a 1), en caso contrario no estaríamos en situación de afrontar una etapa de crisis.</t>
  </si>
  <si>
    <t xml:space="preserve">Mucho menor que 1 puede revelar que el PN es excesivo y no se aprovechan todas las oportunidades </t>
  </si>
  <si>
    <t xml:space="preserve">de financiación. </t>
  </si>
  <si>
    <t xml:space="preserve">Este ratio nos ofrece una evaluación similar al ratio de endeudamiento pero desde otra óptica (al revés): </t>
  </si>
  <si>
    <t>Compara los fondos propios con las deudas.</t>
  </si>
  <si>
    <t xml:space="preserve">En general, el Patrimonio Neto debería ser igual a la deuda (Ratio 1) o no mucho menor. </t>
  </si>
  <si>
    <t>Si el ratio es superior a 1  es probable que haya activos ociosos.</t>
  </si>
  <si>
    <t xml:space="preserve">Estos ratios ofrecen una perspectiva desde distintos ángulos (garantía, seguridad a largo plazo </t>
  </si>
  <si>
    <t>y estabilidad) a los acreedores de la empresa.</t>
  </si>
  <si>
    <t>empresa ofrece a sus acreedores.</t>
  </si>
  <si>
    <t>se ofrece a los acreedores a largo plazo pues radiografía la situación futura de la empresa.</t>
  </si>
  <si>
    <t>El FdM es el que asegura que la empresa pueda hacer frente a sus compromisos de pago y, por tanto, es</t>
  </si>
  <si>
    <t>fundamental.</t>
  </si>
  <si>
    <t xml:space="preserve">Un FdM negativo, obviamente significará que se está en suspensión de pagos… </t>
  </si>
  <si>
    <t xml:space="preserve">El Fondo de maniobra o capital de trabajo es la cantidad de circulante que permanece inmovilizado </t>
  </si>
  <si>
    <t>durante el ciclo operativo para hacer posible el funcionamiento de la actividad ordinaria de la empresa.</t>
  </si>
  <si>
    <t xml:space="preserve">Se suele definir como la parte del circulante financiado con recursos permanentes … aunque es más </t>
  </si>
  <si>
    <t xml:space="preserve">fácil de entender así: es la diferencia entre el circulante  y el exigible a corto plazo. </t>
  </si>
  <si>
    <t>que el FdM es  la mitad que el ECP.</t>
  </si>
  <si>
    <t xml:space="preserve">Mide la proporción de FdM respecto al exigible al corto plazo, así ratio 1 sería que FdM = ECP y 0,5 </t>
  </si>
  <si>
    <t xml:space="preserve">Es el número de días que tarda en regenerarse el fondo de maniobra a través de la actividad normal </t>
  </si>
  <si>
    <t xml:space="preserve">de la empresa. </t>
  </si>
  <si>
    <t xml:space="preserve">Depende de los sectores, en general un número de días bajo señala un proceso productivo corto con una </t>
  </si>
  <si>
    <t>necesidad moderada de FdM.</t>
  </si>
  <si>
    <t>fondos propios.</t>
  </si>
  <si>
    <t xml:space="preserve">conjunto de recursos aplicados en la empresa.  Mide la correlación entre ambas magnitudes, así ratio 1 </t>
  </si>
  <si>
    <t>significaría que el Beneficio Neto es igual a PN+PASIVO.</t>
  </si>
  <si>
    <t xml:space="preserve">El valor ideal siempre es que sean lo más elevados posible y su análisis es importante sobretodo cuando se </t>
  </si>
  <si>
    <t xml:space="preserve">El concepto es: Una empresa es más eficiente cuanto más capaz es de generar más ventas con menos inversiones </t>
  </si>
  <si>
    <t xml:space="preserve">Estos ratios permiten analizar cual es el rendimiento de los activos, todos se obtienen dividendo </t>
  </si>
  <si>
    <t>las ventas por el activo correspondiente.</t>
  </si>
  <si>
    <t xml:space="preserve">Naturalmente, cuanto menor sea el plazo, mejor para la empresa y - en cualquier caso, es importante </t>
  </si>
  <si>
    <t>que este plazo sea siempre menor que el de pago a los proveedores. Esa comparación es importante.</t>
  </si>
  <si>
    <t>Información</t>
  </si>
  <si>
    <t xml:space="preserve">El análisis de balances puede realizarse desde distintas ópticas y en función de la tipología de los datos, </t>
  </si>
  <si>
    <t xml:space="preserve">    En cualquier caso es muy útil analizar el histórico (de dónde viene la empresa) e incluir una parte previsional </t>
  </si>
  <si>
    <t xml:space="preserve">Compara las deudas a corto plazo con el activo circulante (dinero, realizable y stocks) y evalúa la capacidad </t>
  </si>
  <si>
    <t xml:space="preserve">de la empresa para hacer frente a sus pagos a MEDIO PLAZO. Su valor depende esencialmente de la </t>
  </si>
  <si>
    <t xml:space="preserve">velocidad de rotación de las cuentas a cobrar y a pagar y de los stocks. </t>
  </si>
  <si>
    <t xml:space="preserve">Por esa razón el ratio ideal de una empresa de servicios comparado con el de una empresa industrial </t>
  </si>
  <si>
    <t>puede ser notablemente distinto.</t>
  </si>
  <si>
    <t>RATIO 1 significa que circulante y exigible al corto son iguales, por tanto, a medida que el ratio se acerca a 1,</t>
  </si>
  <si>
    <t xml:space="preserve"> los riesgos se incrementan notablemente y en la mayoría de casos ratio 1 significará la imposibilidad de pago. </t>
  </si>
  <si>
    <t>Año más reciente :</t>
  </si>
  <si>
    <t>IV. Inversiones en empresas del grupo y asociadas a largo plazo</t>
  </si>
  <si>
    <t>IV. Inversiones en empresas del grupo y asociadas a corto plazo</t>
  </si>
  <si>
    <r>
      <t>I. Pasivos vinculados</t>
    </r>
    <r>
      <rPr>
        <sz val="8"/>
        <rFont val="Segoe UI"/>
        <family val="2"/>
      </rPr>
      <t xml:space="preserve"> con activos no corrientes mantenidos para la venta</t>
    </r>
  </si>
  <si>
    <t xml:space="preserve">   Beneficio Neto (resultado neto, después de impuestos)</t>
  </si>
  <si>
    <t xml:space="preserve">   Compras (proveedores)</t>
  </si>
  <si>
    <t>Balance a analizar</t>
  </si>
  <si>
    <r>
      <t xml:space="preserve"> (1) </t>
    </r>
    <r>
      <rPr>
        <b/>
        <i/>
        <sz val="10"/>
        <color rgb="FFC00000"/>
        <rFont val="Segoe UI"/>
        <family val="2"/>
      </rPr>
      <t>Rentabilidad Financiera</t>
    </r>
    <r>
      <rPr>
        <i/>
        <sz val="10"/>
        <color rgb="FFC00000"/>
        <rFont val="Segoe UI"/>
        <family val="2"/>
      </rPr>
      <t xml:space="preserve">: la más importante pues nos indica el Beneficio generado en relación con los </t>
    </r>
  </si>
  <si>
    <r>
      <t xml:space="preserve"> (2) </t>
    </r>
    <r>
      <rPr>
        <b/>
        <i/>
        <sz val="10"/>
        <color rgb="FFC00000"/>
        <rFont val="Segoe UI"/>
        <family val="2"/>
      </rPr>
      <t>Rentabilidad Económica</t>
    </r>
    <r>
      <rPr>
        <i/>
        <sz val="10"/>
        <color rgb="FFC00000"/>
        <rFont val="Segoe UI"/>
        <family val="2"/>
      </rPr>
      <t>: Nos indica la productividad que estamos obteniendo del activo de la empresa.</t>
    </r>
  </si>
  <si>
    <r>
      <t xml:space="preserve">Ratio de </t>
    </r>
    <r>
      <rPr>
        <b/>
        <sz val="11"/>
        <rFont val="Segoe UI"/>
        <family val="2"/>
      </rPr>
      <t>Fondo de Maniobra</t>
    </r>
  </si>
  <si>
    <r>
      <t>RATIO IDEAL:</t>
    </r>
    <r>
      <rPr>
        <b/>
        <sz val="10"/>
        <color theme="9" tint="-0.499984740745262"/>
        <rFont val="Segoe UI"/>
        <family val="2"/>
      </rPr>
      <t xml:space="preserve"> </t>
    </r>
    <r>
      <rPr>
        <sz val="10"/>
        <color theme="9" tint="-0.499984740745262"/>
        <rFont val="Tahoma"/>
        <family val="2"/>
      </rPr>
      <t xml:space="preserve">No existe, varía mucho según sectores y situaciones, se suele aceptar 0,5 como genérico. </t>
    </r>
  </si>
  <si>
    <r>
      <t xml:space="preserve">Ratio de </t>
    </r>
    <r>
      <rPr>
        <b/>
        <sz val="11"/>
        <rFont val="Segoe UI"/>
        <family val="2"/>
      </rPr>
      <t>LIQUIDEZ</t>
    </r>
  </si>
  <si>
    <r>
      <t>Ratio de</t>
    </r>
    <r>
      <rPr>
        <b/>
        <sz val="11"/>
        <rFont val="Segoe UI"/>
        <family val="2"/>
      </rPr>
      <t xml:space="preserve"> TESORERÍA</t>
    </r>
    <r>
      <rPr>
        <b/>
        <sz val="10"/>
        <rFont val="Segoe UI"/>
        <family val="2"/>
      </rPr>
      <t xml:space="preserve"> </t>
    </r>
    <r>
      <rPr>
        <sz val="10"/>
        <rFont val="Segoe UI"/>
        <family val="2"/>
      </rPr>
      <t>- ACID TEST</t>
    </r>
  </si>
  <si>
    <r>
      <t xml:space="preserve">RATIO IDEAL: 1 </t>
    </r>
    <r>
      <rPr>
        <i/>
        <sz val="11"/>
        <color theme="9" tint="-0.499984740745262"/>
        <rFont val="Segoe UI"/>
        <family val="2"/>
      </rPr>
      <t xml:space="preserve">o ligeramente por debajo </t>
    </r>
    <r>
      <rPr>
        <sz val="11"/>
        <color theme="9" tint="-0.499984740745262"/>
        <rFont val="Segoe UI"/>
        <family val="2"/>
      </rPr>
      <t>(0,8)</t>
    </r>
    <r>
      <rPr>
        <i/>
        <sz val="11"/>
        <color theme="9" tint="-0.499984740745262"/>
        <rFont val="Segoe UI"/>
        <family val="2"/>
      </rPr>
      <t>.</t>
    </r>
  </si>
  <si>
    <r>
      <t xml:space="preserve">Ratio de </t>
    </r>
    <r>
      <rPr>
        <b/>
        <sz val="11"/>
        <rFont val="Segoe UI"/>
        <family val="2"/>
      </rPr>
      <t>DISPONIBILIDAD</t>
    </r>
  </si>
  <si>
    <r>
      <t xml:space="preserve">RATIO IDEAL: </t>
    </r>
    <r>
      <rPr>
        <sz val="10"/>
        <color theme="9" tint="-0.499984740745262"/>
        <rFont val="Segoe UI"/>
        <family val="2"/>
      </rPr>
      <t>No lo hay, varía mucho, en general entre 0,10 y 0,30</t>
    </r>
    <r>
      <rPr>
        <i/>
        <sz val="10"/>
        <color theme="9" tint="-0.499984740745262"/>
        <rFont val="Segoe UI"/>
        <family val="2"/>
      </rPr>
      <t>.</t>
    </r>
  </si>
  <si>
    <r>
      <t xml:space="preserve">Ratio </t>
    </r>
    <r>
      <rPr>
        <b/>
        <sz val="11"/>
        <rFont val="Segoe UI"/>
        <family val="2"/>
      </rPr>
      <t>ENDEUDAMIENTO</t>
    </r>
    <r>
      <rPr>
        <sz val="11"/>
        <rFont val="Segoe UI"/>
        <family val="2"/>
      </rPr>
      <t xml:space="preserve"> (global)</t>
    </r>
  </si>
  <si>
    <r>
      <t>RATIO IDEAL: NO mayor que 1</t>
    </r>
    <r>
      <rPr>
        <i/>
        <sz val="10"/>
        <color theme="9" tint="-0.499984740745262"/>
        <rFont val="Segoe UI"/>
        <family val="2"/>
      </rPr>
      <t>.</t>
    </r>
  </si>
  <si>
    <r>
      <rPr>
        <b/>
        <sz val="11"/>
        <rFont val="Segoe UI"/>
        <family val="2"/>
      </rPr>
      <t>ENDEUDAMIENTO</t>
    </r>
    <r>
      <rPr>
        <sz val="11"/>
        <rFont val="Segoe UI"/>
        <family val="2"/>
      </rPr>
      <t xml:space="preserve"> CORTO PLAZO</t>
    </r>
  </si>
  <si>
    <r>
      <t xml:space="preserve">Ratio </t>
    </r>
    <r>
      <rPr>
        <b/>
        <sz val="11"/>
        <rFont val="Segoe UI"/>
        <family val="2"/>
      </rPr>
      <t>AUTONOMÍA</t>
    </r>
  </si>
  <si>
    <r>
      <t>RATIO IDEAL: No menor de 1</t>
    </r>
    <r>
      <rPr>
        <sz val="10"/>
        <color theme="9" tint="-0.499984740745262"/>
        <rFont val="Segoe UI"/>
        <family val="2"/>
      </rPr>
      <t xml:space="preserve"> (al revés que el ratio de endeudamiento)</t>
    </r>
    <r>
      <rPr>
        <i/>
        <sz val="10"/>
        <color theme="9" tint="-0.499984740745262"/>
        <rFont val="Segoe UI"/>
        <family val="2"/>
      </rPr>
      <t>.</t>
    </r>
  </si>
  <si>
    <r>
      <t xml:space="preserve">Compara el activo </t>
    </r>
    <r>
      <rPr>
        <b/>
        <i/>
        <sz val="10"/>
        <rFont val="Tahoma"/>
        <family val="2"/>
      </rPr>
      <t>real</t>
    </r>
    <r>
      <rPr>
        <i/>
        <sz val="10"/>
        <rFont val="Tahoma"/>
        <family val="2"/>
      </rPr>
      <t xml:space="preserve"> de la empresa con el total de deudas de la misma y significa la garantía que la </t>
    </r>
  </si>
  <si>
    <r>
      <t xml:space="preserve">El punto clave es determinar cuidadosamente el activo </t>
    </r>
    <r>
      <rPr>
        <i/>
        <u/>
        <sz val="10"/>
        <rFont val="Tahoma"/>
        <family val="2"/>
      </rPr>
      <t>real</t>
    </r>
    <r>
      <rPr>
        <i/>
        <sz val="10"/>
        <rFont val="Tahoma"/>
        <family val="2"/>
      </rPr>
      <t>, segregando del valor total los activos ficticios</t>
    </r>
  </si>
  <si>
    <r>
      <t xml:space="preserve">RATIO IDEAL: </t>
    </r>
    <r>
      <rPr>
        <b/>
        <sz val="10"/>
        <color theme="9" tint="-0.499984740745262"/>
        <rFont val="Segoe UI"/>
        <family val="2"/>
      </rPr>
      <t xml:space="preserve">2, </t>
    </r>
    <r>
      <rPr>
        <sz val="12"/>
        <color theme="9" tint="-0.499984740745262"/>
        <rFont val="Segoe UI"/>
        <family val="2"/>
      </rPr>
      <t xml:space="preserve">siempre debe ser mayor que 1, es aceptable a partir de 1,5. </t>
    </r>
  </si>
  <si>
    <r>
      <t>Ratio de</t>
    </r>
    <r>
      <rPr>
        <b/>
        <sz val="11"/>
        <rFont val="Segoe UI"/>
        <family val="2"/>
      </rPr>
      <t xml:space="preserve"> GARANTÍA</t>
    </r>
  </si>
  <si>
    <r>
      <t>RATIO IDEAL: 2</t>
    </r>
    <r>
      <rPr>
        <sz val="12"/>
        <color theme="9" tint="-0.499984740745262"/>
        <rFont val="Tahoma"/>
        <family val="2"/>
      </rPr>
      <t xml:space="preserve">. </t>
    </r>
  </si>
  <si>
    <r>
      <t xml:space="preserve">Ratio de </t>
    </r>
    <r>
      <rPr>
        <b/>
        <sz val="11"/>
        <rFont val="Segoe UI"/>
        <family val="2"/>
      </rPr>
      <t>ESTABILIDAD</t>
    </r>
  </si>
  <si>
    <r>
      <t xml:space="preserve">Activo fijo ÷ (Patrimonio Neto + </t>
    </r>
    <r>
      <rPr>
        <sz val="9"/>
        <rFont val="Segoe UI"/>
        <family val="2"/>
      </rPr>
      <t>Exigible a largo plazo</t>
    </r>
    <r>
      <rPr>
        <sz val="10"/>
        <rFont val="Segoe UI"/>
        <family val="2"/>
      </rPr>
      <t>)</t>
    </r>
  </si>
  <si>
    <r>
      <t>RATIO IDEAL: Menor que 1</t>
    </r>
    <r>
      <rPr>
        <sz val="12"/>
        <color theme="9" tint="-0.499984740745262"/>
        <rFont val="Tahoma"/>
        <family val="2"/>
      </rPr>
      <t xml:space="preserve">. </t>
    </r>
  </si>
  <si>
    <t>ROTACIÓN DEL ACTIVO</t>
  </si>
  <si>
    <r>
      <t>ROTACIÓN ACTIVO FIJO</t>
    </r>
    <r>
      <rPr>
        <b/>
        <sz val="8"/>
        <rFont val="Segoe UI"/>
        <family val="2"/>
      </rPr>
      <t xml:space="preserve"> </t>
    </r>
  </si>
  <si>
    <t>Patrimonio NETO y PASIVO</t>
  </si>
  <si>
    <t>Pasivo LARGO PLAZO</t>
  </si>
  <si>
    <t>Pasivo CORTO PLAZO</t>
  </si>
  <si>
    <t xml:space="preserve">  Análisis Fácil de los Balances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</si>
</sst>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#,##0.0"/>
    <numFmt numFmtId="166" formatCode="0.0%"/>
    <numFmt numFmtId="167" formatCode="#,##0.00_ ;[Red]\-#,##0.00\ "/>
    <numFmt numFmtId="168" formatCode="[$-F800]dddd\,\ mmmm\ dd\,\ yyyy"/>
    <numFmt numFmtId="169" formatCode="#,##0.00\ [$€-40A]"/>
    <numFmt numFmtId="170" formatCode="#,##0.00\ &quot;€&quot;"/>
  </numFmts>
  <fonts count="169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name val="Verdana"/>
      <family val="2"/>
    </font>
    <font>
      <b/>
      <sz val="18"/>
      <color indexed="42"/>
      <name val="Arial"/>
      <family val="2"/>
    </font>
    <font>
      <b/>
      <sz val="18"/>
      <color indexed="9"/>
      <name val="Arial"/>
      <family val="2"/>
    </font>
    <font>
      <b/>
      <sz val="10"/>
      <name val="Arial"/>
      <family val="2"/>
    </font>
    <font>
      <b/>
      <sz val="16"/>
      <color indexed="9"/>
      <name val="Arial"/>
      <family val="2"/>
    </font>
    <font>
      <sz val="10"/>
      <name val="Arial"/>
      <family val="2"/>
    </font>
    <font>
      <b/>
      <sz val="10"/>
      <color indexed="9"/>
      <name val="Verdana"/>
      <family val="2"/>
    </font>
    <font>
      <sz val="10"/>
      <name val="Arial"/>
      <family val="2"/>
    </font>
    <font>
      <b/>
      <sz val="18"/>
      <color indexed="13"/>
      <name val="Arial"/>
      <family val="2"/>
    </font>
    <font>
      <b/>
      <sz val="20"/>
      <color indexed="9"/>
      <name val="Arial"/>
      <family val="2"/>
    </font>
    <font>
      <sz val="8"/>
      <color indexed="23"/>
      <name val="Arial"/>
      <family val="2"/>
    </font>
    <font>
      <sz val="8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b/>
      <sz val="12"/>
      <name val="Tahoma"/>
      <family val="2"/>
    </font>
    <font>
      <sz val="11"/>
      <color indexed="23"/>
      <name val="Tahoma"/>
      <family val="2"/>
    </font>
    <font>
      <sz val="12"/>
      <name val="Tahoma"/>
      <family val="2"/>
    </font>
    <font>
      <sz val="12"/>
      <color indexed="23"/>
      <name val="Tahoma"/>
      <family val="2"/>
    </font>
    <font>
      <b/>
      <sz val="14"/>
      <color indexed="60"/>
      <name val="Tahoma"/>
      <family val="2"/>
    </font>
    <font>
      <b/>
      <sz val="16"/>
      <name val="Tahoma"/>
      <family val="2"/>
    </font>
    <font>
      <b/>
      <sz val="16"/>
      <color indexed="9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0"/>
      <color indexed="60"/>
      <name val="Tahoma"/>
      <family val="2"/>
    </font>
    <font>
      <b/>
      <sz val="10"/>
      <color indexed="9"/>
      <name val="Tahoma"/>
      <family val="2"/>
    </font>
    <font>
      <b/>
      <sz val="18"/>
      <color indexed="9"/>
      <name val="Tahoma"/>
      <family val="2"/>
    </font>
    <font>
      <b/>
      <sz val="10"/>
      <color indexed="18"/>
      <name val="Tahoma"/>
      <family val="2"/>
    </font>
    <font>
      <sz val="10"/>
      <color indexed="23"/>
      <name val="Tahoma"/>
      <family val="2"/>
    </font>
    <font>
      <sz val="11"/>
      <color indexed="18"/>
      <name val="Tahoma"/>
      <family val="2"/>
    </font>
    <font>
      <sz val="11"/>
      <color indexed="59"/>
      <name val="Tahoma"/>
      <family val="2"/>
    </font>
    <font>
      <b/>
      <sz val="16"/>
      <color indexed="26"/>
      <name val="Tahoma"/>
      <family val="2"/>
    </font>
    <font>
      <sz val="8"/>
      <name val="Verdana"/>
      <family val="2"/>
    </font>
    <font>
      <sz val="10"/>
      <name val="Verdana"/>
      <family val="2"/>
    </font>
    <font>
      <b/>
      <sz val="14"/>
      <name val="Verdana"/>
      <family val="2"/>
    </font>
    <font>
      <sz val="10"/>
      <color indexed="26"/>
      <name val="Tahoma"/>
      <family val="2"/>
    </font>
    <font>
      <sz val="9"/>
      <name val="Arial"/>
      <family val="2"/>
    </font>
    <font>
      <b/>
      <sz val="18"/>
      <color rgb="FFFFFFCC"/>
      <name val="Tahoma"/>
      <family val="2"/>
    </font>
    <font>
      <b/>
      <sz val="16"/>
      <color rgb="FFFFFFCC"/>
      <name val="Tahoma"/>
      <family val="2"/>
    </font>
    <font>
      <b/>
      <sz val="12"/>
      <color indexed="9"/>
      <name val="Segoe UI"/>
      <family val="2"/>
    </font>
    <font>
      <b/>
      <sz val="14"/>
      <color indexed="9"/>
      <name val="Segoe UI"/>
      <family val="2"/>
    </font>
    <font>
      <sz val="11"/>
      <name val="Arial"/>
      <family val="2"/>
    </font>
    <font>
      <b/>
      <sz val="16"/>
      <name val="Segoe UI"/>
      <family val="2"/>
    </font>
    <font>
      <b/>
      <sz val="16"/>
      <color indexed="10"/>
      <name val="Segoe UI"/>
      <family val="2"/>
    </font>
    <font>
      <sz val="11"/>
      <name val="Segoe UI"/>
      <family val="2"/>
    </font>
    <font>
      <b/>
      <sz val="12"/>
      <name val="Segoe UI"/>
      <family val="2"/>
    </font>
    <font>
      <b/>
      <sz val="11"/>
      <name val="Segoe UI"/>
      <family val="2"/>
    </font>
    <font>
      <sz val="12"/>
      <name val="Segoe UI"/>
      <family val="2"/>
    </font>
    <font>
      <b/>
      <sz val="16"/>
      <color theme="3" tint="0.39997558519241921"/>
      <name val="Segoe UI"/>
      <family val="2"/>
    </font>
    <font>
      <sz val="10"/>
      <name val="Segoe UI"/>
      <family val="2"/>
    </font>
    <font>
      <sz val="10"/>
      <color indexed="23"/>
      <name val="Segoe UI"/>
      <family val="2"/>
    </font>
    <font>
      <sz val="12"/>
      <color indexed="23"/>
      <name val="Segoe UI"/>
      <family val="2"/>
    </font>
    <font>
      <sz val="8"/>
      <name val="Segoe UI"/>
      <family val="2"/>
    </font>
    <font>
      <sz val="10"/>
      <color theme="0" tint="-0.499984740745262"/>
      <name val="Segoe UI"/>
      <family val="2"/>
    </font>
    <font>
      <b/>
      <sz val="12"/>
      <color rgb="FFFFFFCC"/>
      <name val="Segoe UI"/>
      <family val="2"/>
    </font>
    <font>
      <b/>
      <sz val="10"/>
      <color indexed="9"/>
      <name val="Segoe UI"/>
      <family val="2"/>
    </font>
    <font>
      <sz val="11"/>
      <color rgb="FF000000"/>
      <name val="Segoe UI"/>
      <family val="2"/>
    </font>
    <font>
      <b/>
      <sz val="11"/>
      <color rgb="FF000000"/>
      <name val="Segoe UI"/>
      <family val="2"/>
    </font>
    <font>
      <sz val="10"/>
      <color rgb="FF000000"/>
      <name val="Segoe UI"/>
      <family val="2"/>
    </font>
    <font>
      <b/>
      <sz val="10"/>
      <color rgb="FF000000"/>
      <name val="Segoe UI"/>
      <family val="2"/>
    </font>
    <font>
      <b/>
      <sz val="11"/>
      <color rgb="FF993300"/>
      <name val="Segoe UI"/>
      <family val="2"/>
    </font>
    <font>
      <b/>
      <sz val="10"/>
      <color rgb="FF993300"/>
      <name val="Segoe UI"/>
      <family val="2"/>
    </font>
    <font>
      <i/>
      <sz val="10"/>
      <color rgb="FF000000"/>
      <name val="Segoe UI"/>
      <family val="2"/>
    </font>
    <font>
      <b/>
      <sz val="11"/>
      <color theme="5" tint="-0.249977111117893"/>
      <name val="Segoe UI"/>
      <family val="2"/>
    </font>
    <font>
      <sz val="10"/>
      <color theme="5" tint="-0.249977111117893"/>
      <name val="Segoe UI"/>
      <family val="2"/>
    </font>
    <font>
      <b/>
      <sz val="10"/>
      <color theme="5" tint="-0.249977111117893"/>
      <name val="Segoe UI"/>
      <family val="2"/>
    </font>
    <font>
      <i/>
      <sz val="10"/>
      <name val="Segoe UI"/>
      <family val="2"/>
    </font>
    <font>
      <b/>
      <sz val="10"/>
      <name val="Segoe UI"/>
      <family val="2"/>
    </font>
    <font>
      <sz val="9"/>
      <name val="Segoe UI"/>
      <family val="2"/>
    </font>
    <font>
      <sz val="9"/>
      <color rgb="FF808080"/>
      <name val="Segoe UI"/>
      <family val="2"/>
    </font>
    <font>
      <b/>
      <sz val="10"/>
      <color theme="5" tint="-0.249977111117893"/>
      <name val="Arial"/>
      <family val="2"/>
    </font>
    <font>
      <b/>
      <i/>
      <sz val="10"/>
      <name val="Segoe UI"/>
      <family val="2"/>
    </font>
    <font>
      <b/>
      <sz val="11"/>
      <color indexed="60"/>
      <name val="Segoe UI"/>
      <family val="2"/>
    </font>
    <font>
      <b/>
      <sz val="18"/>
      <color indexed="9"/>
      <name val="Segoe UI"/>
      <family val="2"/>
    </font>
    <font>
      <b/>
      <sz val="10"/>
      <color indexed="18"/>
      <name val="Segoe UI"/>
      <family val="2"/>
    </font>
    <font>
      <b/>
      <sz val="12"/>
      <color theme="5" tint="-0.249977111117893"/>
      <name val="Segoe UI"/>
      <family val="2"/>
    </font>
    <font>
      <i/>
      <sz val="11"/>
      <color theme="5" tint="-0.249977111117893"/>
      <name val="Segoe UI"/>
      <family val="2"/>
    </font>
    <font>
      <b/>
      <sz val="16"/>
      <color theme="0"/>
      <name val="Segoe UI"/>
      <family val="2"/>
    </font>
    <font>
      <sz val="14"/>
      <color indexed="26"/>
      <name val="Segoe UI"/>
      <family val="2"/>
    </font>
    <font>
      <b/>
      <sz val="20"/>
      <color rgb="FFFFFFCC"/>
      <name val="Segoe UI"/>
      <family val="2"/>
    </font>
    <font>
      <b/>
      <sz val="20"/>
      <color indexed="9"/>
      <name val="Segoe UI"/>
      <family val="2"/>
    </font>
    <font>
      <sz val="8"/>
      <color indexed="23"/>
      <name val="Segoe UI"/>
      <family val="2"/>
    </font>
    <font>
      <b/>
      <sz val="9"/>
      <name val="Segoe UI"/>
      <family val="2"/>
    </font>
    <font>
      <sz val="10"/>
      <color indexed="26"/>
      <name val="Segoe UI"/>
      <family val="2"/>
    </font>
    <font>
      <sz val="9"/>
      <color indexed="26"/>
      <name val="Segoe UI"/>
      <family val="2"/>
    </font>
    <font>
      <b/>
      <sz val="8"/>
      <name val="Segoe UI"/>
      <family val="2"/>
    </font>
    <font>
      <sz val="9"/>
      <color rgb="FF000080"/>
      <name val="Segoe UI"/>
      <family val="2"/>
    </font>
    <font>
      <sz val="10"/>
      <color indexed="43"/>
      <name val="Segoe UI"/>
      <family val="2"/>
    </font>
    <font>
      <sz val="12"/>
      <color indexed="10"/>
      <name val="Segoe UI"/>
      <family val="2"/>
    </font>
    <font>
      <b/>
      <sz val="14"/>
      <name val="Segoe UI"/>
      <family val="2"/>
    </font>
    <font>
      <b/>
      <sz val="14"/>
      <color indexed="10"/>
      <name val="Segoe UI"/>
      <family val="2"/>
    </font>
    <font>
      <b/>
      <sz val="14"/>
      <color indexed="43"/>
      <name val="Segoe UI"/>
      <family val="2"/>
    </font>
    <font>
      <b/>
      <sz val="12"/>
      <color indexed="18"/>
      <name val="Segoe UI"/>
      <family val="2"/>
    </font>
    <font>
      <sz val="14"/>
      <color indexed="9"/>
      <name val="Segoe UI"/>
      <family val="2"/>
    </font>
    <font>
      <sz val="14"/>
      <name val="Segoe UI"/>
      <family val="2"/>
    </font>
    <font>
      <i/>
      <u/>
      <sz val="10"/>
      <name val="Tahoma"/>
      <family val="2"/>
    </font>
    <font>
      <b/>
      <sz val="16"/>
      <color indexed="8"/>
      <name val="Segoe UI"/>
      <family val="2"/>
    </font>
    <font>
      <sz val="11"/>
      <color indexed="23"/>
      <name val="Segoe UI"/>
      <family val="2"/>
    </font>
    <font>
      <sz val="14"/>
      <color indexed="23"/>
      <name val="Segoe UI"/>
      <family val="2"/>
    </font>
    <font>
      <b/>
      <sz val="11"/>
      <color indexed="23"/>
      <name val="Segoe UI"/>
      <family val="2"/>
    </font>
    <font>
      <sz val="11"/>
      <color theme="0" tint="-0.499984740745262"/>
      <name val="Segoe UI"/>
      <family val="2"/>
    </font>
    <font>
      <b/>
      <u/>
      <sz val="14"/>
      <name val="Segoe UI"/>
      <family val="2"/>
    </font>
    <font>
      <u/>
      <sz val="14"/>
      <name val="Segoe UI"/>
      <family val="2"/>
    </font>
    <font>
      <b/>
      <u/>
      <sz val="11"/>
      <name val="Segoe UI"/>
      <family val="2"/>
    </font>
    <font>
      <u/>
      <sz val="11"/>
      <color indexed="23"/>
      <name val="Segoe UI"/>
      <family val="2"/>
    </font>
    <font>
      <b/>
      <sz val="22"/>
      <color theme="0"/>
      <name val="Segoe UI"/>
      <family val="2"/>
    </font>
    <font>
      <b/>
      <sz val="10"/>
      <color theme="9" tint="-0.499984740745262"/>
      <name val="Segoe UI"/>
      <family val="2"/>
    </font>
    <font>
      <sz val="10"/>
      <color theme="9" tint="-0.499984740745262"/>
      <name val="Segoe UI"/>
      <family val="2"/>
    </font>
    <font>
      <b/>
      <i/>
      <sz val="10"/>
      <color theme="9" tint="-0.499984740745262"/>
      <name val="Segoe UI"/>
      <family val="2"/>
    </font>
    <font>
      <b/>
      <sz val="10"/>
      <color rgb="FFFF0000"/>
      <name val="Segoe UI"/>
      <family val="2"/>
    </font>
    <font>
      <sz val="12"/>
      <color theme="5" tint="-0.249977111117893"/>
      <name val="Segoe UI"/>
      <family val="2"/>
    </font>
    <font>
      <b/>
      <sz val="11"/>
      <color theme="0"/>
      <name val="Segoe UI"/>
      <family val="2"/>
    </font>
    <font>
      <b/>
      <sz val="16"/>
      <color indexed="10"/>
      <name val="TahÇ"/>
    </font>
    <font>
      <b/>
      <sz val="16"/>
      <color indexed="9"/>
      <name val="Segoe UI"/>
      <family val="2"/>
    </font>
    <font>
      <sz val="22"/>
      <color indexed="26"/>
      <name val="Segoe UI"/>
      <family val="2"/>
    </font>
    <font>
      <b/>
      <sz val="22"/>
      <color rgb="FFFFFFCC"/>
      <name val="Segoe UI"/>
      <family val="2"/>
    </font>
    <font>
      <sz val="16"/>
      <color theme="3" tint="0.39997558519241921"/>
      <name val="Rage Italic"/>
      <family val="4"/>
    </font>
    <font>
      <b/>
      <i/>
      <sz val="18"/>
      <color theme="3" tint="0.39997558519241921"/>
      <name val="Rage Italic"/>
      <family val="4"/>
    </font>
    <font>
      <b/>
      <sz val="14"/>
      <color rgb="FFFFFFCC"/>
      <name val="Segoe UI"/>
      <family val="2"/>
    </font>
    <font>
      <b/>
      <sz val="20"/>
      <color theme="0"/>
      <name val="Segoe UI"/>
      <family val="2"/>
    </font>
    <font>
      <sz val="8"/>
      <color theme="1"/>
      <name val="Segoe UI"/>
      <family val="2"/>
    </font>
    <font>
      <sz val="20"/>
      <color theme="1"/>
      <name val="Calibri"/>
      <family val="2"/>
      <scheme val="minor"/>
    </font>
    <font>
      <sz val="11"/>
      <color theme="1"/>
      <name val="Segoe UI"/>
      <family val="2"/>
    </font>
    <font>
      <sz val="8"/>
      <color theme="0" tint="-0.499984740745262"/>
      <name val="Segoe UI"/>
      <family val="2"/>
    </font>
    <font>
      <sz val="10"/>
      <color theme="1"/>
      <name val="Segoe UI"/>
      <family val="2"/>
    </font>
    <font>
      <b/>
      <sz val="12"/>
      <color theme="0" tint="-0.249977111117893"/>
      <name val="Rage Italic"/>
      <family val="4"/>
    </font>
    <font>
      <b/>
      <sz val="14"/>
      <color theme="0" tint="-0.499984740745262"/>
      <name val="Rage Italic"/>
      <family val="4"/>
    </font>
    <font>
      <b/>
      <u/>
      <sz val="11"/>
      <color indexed="60"/>
      <name val="Segoe UI"/>
      <family val="2"/>
    </font>
    <font>
      <b/>
      <sz val="16"/>
      <color rgb="FFFFFFCC"/>
      <name val="Segoe UI"/>
      <family val="2"/>
    </font>
    <font>
      <sz val="10"/>
      <color theme="0"/>
      <name val="Segoe UI"/>
      <family val="2"/>
    </font>
    <font>
      <i/>
      <sz val="9"/>
      <name val="Segoe UI"/>
      <family val="2"/>
    </font>
    <font>
      <b/>
      <sz val="18"/>
      <color rgb="FFFF0000"/>
      <name val="Segoe UI"/>
      <family val="2"/>
    </font>
    <font>
      <i/>
      <sz val="12"/>
      <name val="Segoe UI"/>
      <family val="2"/>
    </font>
    <font>
      <b/>
      <sz val="12"/>
      <color rgb="FFC00000"/>
      <name val="Segoe UI"/>
      <family val="2"/>
    </font>
    <font>
      <i/>
      <sz val="10"/>
      <color rgb="FFC00000"/>
      <name val="Segoe UI"/>
      <family val="2"/>
    </font>
    <font>
      <b/>
      <i/>
      <sz val="10"/>
      <color rgb="FFC00000"/>
      <name val="Segoe UI"/>
      <family val="2"/>
    </font>
    <font>
      <i/>
      <sz val="10"/>
      <name val="Arial"/>
      <family val="2"/>
    </font>
    <font>
      <sz val="10"/>
      <color rgb="FFC00000"/>
      <name val="Tahoma"/>
      <family val="2"/>
    </font>
    <font>
      <sz val="10"/>
      <color theme="9" tint="-0.499984740745262"/>
      <name val="Tahoma"/>
      <family val="2"/>
    </font>
    <font>
      <b/>
      <sz val="11"/>
      <color theme="9" tint="-0.499984740745262"/>
      <name val="Segoe UI"/>
      <family val="2"/>
    </font>
    <font>
      <i/>
      <sz val="11"/>
      <color theme="9" tint="-0.499984740745262"/>
      <name val="Segoe UI"/>
      <family val="2"/>
    </font>
    <font>
      <sz val="11"/>
      <color theme="9" tint="-0.499984740745262"/>
      <name val="Segoe UI"/>
      <family val="2"/>
    </font>
    <font>
      <i/>
      <sz val="10"/>
      <color theme="9" tint="-0.499984740745262"/>
      <name val="Segoe UI"/>
      <family val="2"/>
    </font>
    <font>
      <i/>
      <sz val="10"/>
      <name val="Tahoma"/>
      <family val="2"/>
    </font>
    <font>
      <i/>
      <sz val="10"/>
      <color theme="9" tint="-0.499984740745262"/>
      <name val="Tahoma"/>
      <family val="2"/>
    </font>
    <font>
      <sz val="10"/>
      <color theme="9" tint="-0.499984740745262"/>
      <name val="Arial"/>
      <family val="2"/>
    </font>
    <font>
      <i/>
      <sz val="10"/>
      <color rgb="FFC00000"/>
      <name val="Tahoma"/>
      <family val="2"/>
    </font>
    <font>
      <b/>
      <i/>
      <sz val="10"/>
      <name val="Tahoma"/>
      <family val="2"/>
    </font>
    <font>
      <sz val="12"/>
      <color theme="9" tint="-0.499984740745262"/>
      <name val="Segoe UI"/>
      <family val="2"/>
    </font>
    <font>
      <sz val="12"/>
      <color theme="9" tint="-0.499984740745262"/>
      <name val="Tahoma"/>
      <family val="2"/>
    </font>
    <font>
      <b/>
      <sz val="11"/>
      <color rgb="FFC00000"/>
      <name val="Segoe UI"/>
      <family val="2"/>
    </font>
    <font>
      <b/>
      <sz val="22"/>
      <color indexed="9"/>
      <name val="Segoe UI"/>
      <family val="2"/>
    </font>
    <font>
      <b/>
      <sz val="14"/>
      <color theme="6" tint="-0.249977111117893"/>
      <name val="Segoe UI"/>
      <family val="2"/>
    </font>
    <font>
      <i/>
      <sz val="12"/>
      <color theme="6" tint="-0.249977111117893"/>
      <name val="Segoe UI"/>
      <family val="2"/>
    </font>
    <font>
      <sz val="12"/>
      <color theme="6" tint="-0.249977111117893"/>
      <name val="Segoe UI"/>
      <family val="2"/>
    </font>
    <font>
      <b/>
      <sz val="14"/>
      <color theme="6" tint="-0.499984740745262"/>
      <name val="Segoe UI"/>
      <family val="2"/>
    </font>
    <font>
      <b/>
      <sz val="14"/>
      <color theme="1" tint="0.499984740745262"/>
      <name val="Segoe UI"/>
      <family val="2"/>
    </font>
    <font>
      <b/>
      <sz val="20"/>
      <color indexed="8"/>
      <name val="Segoe UI"/>
      <family val="2"/>
    </font>
    <font>
      <sz val="16"/>
      <name val="Segoe UI"/>
      <family val="2"/>
    </font>
    <font>
      <b/>
      <sz val="22"/>
      <color rgb="FFFFFF00"/>
      <name val="Segoe UI"/>
      <family val="2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2" tint="-9.9978637043366805E-2"/>
        <b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2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2" tint="-0.499984740745262"/>
        <bgColor indexed="22"/>
      </patternFill>
    </fill>
    <fill>
      <patternFill patternType="solid">
        <fgColor theme="2" tint="-0.749992370372631"/>
        <bgColor indexed="22"/>
      </patternFill>
    </fill>
    <fill>
      <patternFill patternType="solid">
        <fgColor theme="6" tint="-0.24994659260841701"/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22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22"/>
      </patternFill>
    </fill>
    <fill>
      <patternFill patternType="solid">
        <fgColor rgb="FFFF9900"/>
        <bgColor indexed="64"/>
      </patternFill>
    </fill>
  </fills>
  <borders count="198">
    <border>
      <left/>
      <right/>
      <top/>
      <bottom/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/>
      <top style="thin">
        <color indexed="22"/>
      </top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thin">
        <color indexed="23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2"/>
      </left>
      <right style="thin">
        <color indexed="22"/>
      </right>
      <top style="hair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64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/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3"/>
      </bottom>
      <diagonal/>
    </border>
    <border>
      <left style="thin">
        <color indexed="23"/>
      </left>
      <right style="thin">
        <color indexed="22"/>
      </right>
      <top style="thin">
        <color indexed="23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3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3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/>
      <bottom style="thin">
        <color indexed="22"/>
      </bottom>
      <diagonal/>
    </border>
    <border>
      <left style="thin">
        <color indexed="22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22"/>
      </right>
      <top/>
      <bottom style="hair">
        <color indexed="22"/>
      </bottom>
      <diagonal/>
    </border>
    <border>
      <left style="thin">
        <color indexed="22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/>
      <right style="thin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2"/>
      </left>
      <right/>
      <top style="hair">
        <color indexed="22"/>
      </top>
      <bottom style="thin">
        <color indexed="22"/>
      </bottom>
      <diagonal/>
    </border>
    <border>
      <left/>
      <right/>
      <top style="hair">
        <color indexed="22"/>
      </top>
      <bottom style="thin">
        <color indexed="22"/>
      </bottom>
      <diagonal/>
    </border>
    <border>
      <left/>
      <right style="thin">
        <color indexed="22"/>
      </right>
      <top style="hair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2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3"/>
      </bottom>
      <diagonal/>
    </border>
    <border>
      <left/>
      <right/>
      <top style="thin">
        <color indexed="19"/>
      </top>
      <bottom style="thin">
        <color indexed="64"/>
      </bottom>
      <diagonal/>
    </border>
    <border>
      <left/>
      <right style="thin">
        <color indexed="19"/>
      </right>
      <top style="thin">
        <color indexed="19"/>
      </top>
      <bottom style="thin">
        <color indexed="64"/>
      </bottom>
      <diagonal/>
    </border>
    <border>
      <left/>
      <right/>
      <top/>
      <bottom style="thin">
        <color rgb="FFB2B2B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hair">
        <color indexed="22"/>
      </bottom>
      <diagonal/>
    </border>
    <border>
      <left style="thin">
        <color rgb="FF996600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996600"/>
      </right>
      <top style="thin">
        <color indexed="22"/>
      </top>
      <bottom style="thin">
        <color indexed="22"/>
      </bottom>
      <diagonal/>
    </border>
    <border>
      <left style="thin">
        <color rgb="FF996600"/>
      </left>
      <right/>
      <top style="thin">
        <color indexed="22"/>
      </top>
      <bottom style="thin">
        <color theme="0" tint="-0.14996795556505021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 tint="-0.14996795556505021"/>
      </bottom>
      <diagonal/>
    </border>
    <border>
      <left style="thin">
        <color indexed="22"/>
      </left>
      <right style="thin">
        <color rgb="FF996600"/>
      </right>
      <top style="thin">
        <color indexed="22"/>
      </top>
      <bottom style="thin">
        <color theme="0" tint="-0.14996795556505021"/>
      </bottom>
      <diagonal/>
    </border>
    <border>
      <left style="thin">
        <color rgb="FF996600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 style="thin">
        <color indexed="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22"/>
      </left>
      <right style="thin">
        <color rgb="FF996600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996600"/>
      </left>
      <right/>
      <top style="thin">
        <color theme="0" tint="-0.14996795556505021"/>
      </top>
      <bottom style="thin">
        <color rgb="FF996600"/>
      </bottom>
      <diagonal/>
    </border>
    <border>
      <left/>
      <right style="thin">
        <color indexed="22"/>
      </right>
      <top style="thin">
        <color theme="0" tint="-0.14996795556505021"/>
      </top>
      <bottom style="thin">
        <color rgb="FF996600"/>
      </bottom>
      <diagonal/>
    </border>
    <border>
      <left style="thin">
        <color indexed="22"/>
      </left>
      <right style="thin">
        <color indexed="22"/>
      </right>
      <top style="thin">
        <color theme="0" tint="-0.14996795556505021"/>
      </top>
      <bottom style="thin">
        <color rgb="FF996600"/>
      </bottom>
      <diagonal/>
    </border>
    <border>
      <left style="thin">
        <color indexed="22"/>
      </left>
      <right style="thin">
        <color rgb="FF996600"/>
      </right>
      <top style="thin">
        <color theme="0" tint="-0.14996795556505021"/>
      </top>
      <bottom style="thin">
        <color rgb="FF996600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 tint="-0.2499465926084170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theme="9" tint="-0.24994659260841701"/>
      </left>
      <right style="thin">
        <color theme="9" tint="-0.24994659260841701"/>
      </right>
      <top style="thin">
        <color theme="9" tint="-0.24994659260841701"/>
      </top>
      <bottom style="thin">
        <color theme="9" tint="-0.24994659260841701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indexed="2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0" tint="-0.24994659260841701"/>
      </left>
      <right style="thin">
        <color theme="1" tint="4.9989318521683403E-2"/>
      </right>
      <top/>
      <bottom/>
      <diagonal/>
    </border>
    <border>
      <left style="thin">
        <color theme="0" tint="-0.24994659260841701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0" tint="-0.24994659260841701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 tint="4.9989318521683403E-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/>
      <right style="thick">
        <color rgb="FFC00000"/>
      </right>
      <top style="thick">
        <color rgb="FFC00000"/>
      </top>
      <bottom/>
      <diagonal/>
    </border>
    <border>
      <left/>
      <right style="thick">
        <color rgb="FFC00000"/>
      </right>
      <top/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n">
        <color rgb="FF996600"/>
      </left>
      <right/>
      <top/>
      <bottom style="thin">
        <color indexed="22"/>
      </bottom>
      <diagonal/>
    </border>
    <border>
      <left style="thin">
        <color indexed="22"/>
      </left>
      <right style="thin">
        <color rgb="FF996600"/>
      </right>
      <top/>
      <bottom/>
      <diagonal/>
    </border>
    <border>
      <left style="thick">
        <color theme="9" tint="-0.499984740745262"/>
      </left>
      <right/>
      <top style="thick">
        <color theme="9" tint="-0.499984740745262"/>
      </top>
      <bottom style="thick">
        <color theme="9" tint="-0.499984740745262"/>
      </bottom>
      <diagonal/>
    </border>
    <border>
      <left/>
      <right/>
      <top style="thick">
        <color theme="9" tint="-0.499984740745262"/>
      </top>
      <bottom style="thick">
        <color theme="9" tint="-0.499984740745262"/>
      </bottom>
      <diagonal/>
    </border>
    <border>
      <left/>
      <right style="thick">
        <color theme="9" tint="-0.499984740745262"/>
      </right>
      <top style="thick">
        <color theme="9" tint="-0.499984740745262"/>
      </top>
      <bottom style="thick">
        <color theme="9" tint="-0.499984740745262"/>
      </bottom>
      <diagonal/>
    </border>
    <border>
      <left style="medium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medium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medium">
        <color theme="9" tint="-0.499984740745262"/>
      </top>
      <bottom/>
      <diagonal/>
    </border>
    <border>
      <left/>
      <right/>
      <top/>
      <bottom style="medium">
        <color theme="9" tint="-0.499984740745262"/>
      </bottom>
      <diagonal/>
    </border>
    <border>
      <left style="thin">
        <color theme="9" tint="-0.24994659260841701"/>
      </left>
      <right/>
      <top style="thin">
        <color theme="6" tint="-0.24994659260841701"/>
      </top>
      <bottom style="thin">
        <color indexed="64"/>
      </bottom>
      <diagonal/>
    </border>
    <border>
      <left/>
      <right/>
      <top style="thin">
        <color theme="6" tint="-0.24994659260841701"/>
      </top>
      <bottom style="thin">
        <color indexed="64"/>
      </bottom>
      <diagonal/>
    </border>
    <border>
      <left/>
      <right style="thin">
        <color theme="6" tint="-0.24994659260841701"/>
      </right>
      <top style="thin">
        <color theme="6" tint="-0.24994659260841701"/>
      </top>
      <bottom style="thin">
        <color indexed="64"/>
      </bottom>
      <diagonal/>
    </border>
    <border>
      <left style="thin">
        <color theme="6" tint="-0.24994659260841701"/>
      </left>
      <right style="thin">
        <color indexed="22"/>
      </right>
      <top style="thin">
        <color theme="6" tint="-0.2499465926084170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theme="6" tint="-0.24994659260841701"/>
      </top>
      <bottom style="thin">
        <color indexed="64"/>
      </bottom>
      <diagonal/>
    </border>
    <border>
      <left style="thin">
        <color indexed="22"/>
      </left>
      <right style="thin">
        <color theme="6" tint="-0.24994659260841701"/>
      </right>
      <top style="thin">
        <color theme="6" tint="-0.24994659260841701"/>
      </top>
      <bottom style="thin">
        <color indexed="64"/>
      </bottom>
      <diagonal/>
    </border>
    <border>
      <left style="thin">
        <color theme="9" tint="-0.24994659260841701"/>
      </left>
      <right style="thin">
        <color theme="0" tint="-0.14996795556505021"/>
      </right>
      <top style="thin">
        <color theme="2" tint="-0.749961851863155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2" tint="-0.749961851863155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2" tint="-0.749961851863155"/>
      </right>
      <top style="thin">
        <color theme="2" tint="-0.749961851863155"/>
      </top>
      <bottom style="thin">
        <color indexed="64"/>
      </bottom>
      <diagonal/>
    </border>
    <border>
      <left style="thin">
        <color theme="2" tint="-0.749961851863155"/>
      </left>
      <right style="thin">
        <color indexed="22"/>
      </right>
      <top style="thin">
        <color theme="2" tint="-0.749961851863155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theme="2" tint="-0.749961851863155"/>
      </top>
      <bottom style="thin">
        <color indexed="64"/>
      </bottom>
      <diagonal/>
    </border>
    <border>
      <left style="thin">
        <color indexed="22"/>
      </left>
      <right style="thin">
        <color theme="2" tint="-0.749961851863155"/>
      </right>
      <top style="thin">
        <color theme="2" tint="-0.749961851863155"/>
      </top>
      <bottom style="thin">
        <color indexed="64"/>
      </bottom>
      <diagonal/>
    </border>
    <border>
      <left style="thin">
        <color indexed="22"/>
      </left>
      <right/>
      <top style="hair">
        <color indexed="22"/>
      </top>
      <bottom/>
      <diagonal/>
    </border>
    <border>
      <left/>
      <right/>
      <top style="hair">
        <color indexed="22"/>
      </top>
      <bottom/>
      <diagonal/>
    </border>
    <border>
      <left/>
      <right style="thin">
        <color indexed="22"/>
      </right>
      <top style="hair">
        <color indexed="22"/>
      </top>
      <bottom/>
      <diagonal/>
    </border>
    <border>
      <left style="thin">
        <color indexed="22"/>
      </left>
      <right style="thin">
        <color indexed="22"/>
      </right>
      <top style="hair">
        <color indexed="22"/>
      </top>
      <bottom/>
      <diagonal/>
    </border>
    <border>
      <left/>
      <right/>
      <top style="thick">
        <color theme="2" tint="-0.749961851863155"/>
      </top>
      <bottom style="thick">
        <color theme="2" tint="-0.749961851863155"/>
      </bottom>
      <diagonal/>
    </border>
    <border>
      <left/>
      <right style="thick">
        <color theme="2" tint="-0.749961851863155"/>
      </right>
      <top style="thick">
        <color theme="2" tint="-0.749961851863155"/>
      </top>
      <bottom style="thick">
        <color theme="2" tint="-0.749961851863155"/>
      </bottom>
      <diagonal/>
    </border>
    <border>
      <left style="thick">
        <color rgb="FFC00000"/>
      </left>
      <right style="thick">
        <color theme="9" tint="-0.24994659260841701"/>
      </right>
      <top style="thick">
        <color theme="9" tint="-0.24994659260841701"/>
      </top>
      <bottom style="thick">
        <color theme="9" tint="-0.24994659260841701"/>
      </bottom>
      <diagonal/>
    </border>
    <border>
      <left style="thick">
        <color theme="9" tint="-0.24994659260841701"/>
      </left>
      <right/>
      <top style="thick">
        <color theme="6" tint="-0.24994659260841701"/>
      </top>
      <bottom style="thick">
        <color theme="6" tint="-0.24994659260841701"/>
      </bottom>
      <diagonal/>
    </border>
    <border>
      <left/>
      <right/>
      <top style="thick">
        <color theme="6" tint="-0.24994659260841701"/>
      </top>
      <bottom style="thick">
        <color theme="6" tint="-0.24994659260841701"/>
      </bottom>
      <diagonal/>
    </border>
    <border>
      <left/>
      <right style="thick">
        <color theme="6" tint="-0.24994659260841701"/>
      </right>
      <top style="thick">
        <color theme="6" tint="-0.24994659260841701"/>
      </top>
      <bottom style="thick">
        <color theme="6" tint="-0.24994659260841701"/>
      </bottom>
      <diagonal/>
    </border>
    <border>
      <left style="thin">
        <color theme="2" tint="-0.749961851863155"/>
      </left>
      <right/>
      <top style="thick">
        <color theme="2" tint="-0.749961851863155"/>
      </top>
      <bottom style="thin">
        <color indexed="22"/>
      </bottom>
      <diagonal/>
    </border>
    <border>
      <left/>
      <right style="thin">
        <color indexed="22"/>
      </right>
      <top style="thick">
        <color theme="2" tint="-0.749961851863155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ck">
        <color theme="2" tint="-0.749961851863155"/>
      </top>
      <bottom style="thin">
        <color indexed="22"/>
      </bottom>
      <diagonal/>
    </border>
    <border>
      <left/>
      <right style="thin">
        <color theme="2" tint="-0.749961851863155"/>
      </right>
      <top style="thick">
        <color theme="2" tint="-0.749961851863155"/>
      </top>
      <bottom/>
      <diagonal/>
    </border>
    <border>
      <left style="thin">
        <color theme="2" tint="-0.749961851863155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2" tint="-0.749961851863155"/>
      </right>
      <top style="thin">
        <color indexed="22"/>
      </top>
      <bottom style="thin">
        <color indexed="22"/>
      </bottom>
      <diagonal/>
    </border>
    <border>
      <left style="thin">
        <color theme="2" tint="-0.749961851863155"/>
      </left>
      <right/>
      <top style="thin">
        <color indexed="22"/>
      </top>
      <bottom style="thin">
        <color theme="2" tint="-0.749961851863155"/>
      </bottom>
      <diagonal/>
    </border>
    <border>
      <left/>
      <right style="thin">
        <color indexed="22"/>
      </right>
      <top style="thin">
        <color indexed="22"/>
      </top>
      <bottom style="thin">
        <color theme="2" tint="-0.749961851863155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2" tint="-0.749961851863155"/>
      </bottom>
      <diagonal/>
    </border>
    <border>
      <left style="thin">
        <color indexed="22"/>
      </left>
      <right style="thin">
        <color theme="2" tint="-0.749961851863155"/>
      </right>
      <top style="thin">
        <color indexed="22"/>
      </top>
      <bottom style="thin">
        <color theme="2" tint="-0.749961851863155"/>
      </bottom>
      <diagonal/>
    </border>
    <border>
      <left style="thick">
        <color rgb="FFC00000"/>
      </left>
      <right style="thick">
        <color theme="2" tint="-0.749961851863155"/>
      </right>
      <top style="thick">
        <color theme="9" tint="-0.24994659260841701"/>
      </top>
      <bottom style="thick">
        <color theme="9" tint="-0.24994659260841701"/>
      </bottom>
      <diagonal/>
    </border>
    <border>
      <left/>
      <right style="thin">
        <color indexed="22"/>
      </right>
      <top style="medium">
        <color theme="9" tint="-0.499984740745262"/>
      </top>
      <bottom style="thin">
        <color indexed="22"/>
      </bottom>
      <diagonal/>
    </border>
    <border>
      <left/>
      <right/>
      <top style="medium">
        <color theme="9" tint="-0.499984740745262"/>
      </top>
      <bottom style="thin">
        <color indexed="22"/>
      </bottom>
      <diagonal/>
    </border>
    <border>
      <left style="thin">
        <color theme="9" tint="-0.499984740745262"/>
      </left>
      <right/>
      <top style="medium">
        <color theme="9" tint="-0.499984740745262"/>
      </top>
      <bottom style="medium">
        <color theme="9" tint="-0.499984740745262"/>
      </bottom>
      <diagonal/>
    </border>
    <border>
      <left/>
      <right style="thin">
        <color theme="9" tint="-0.499984740745262"/>
      </right>
      <top style="medium">
        <color theme="9" tint="-0.499984740745262"/>
      </top>
      <bottom style="medium">
        <color theme="9" tint="-0.499984740745262"/>
      </bottom>
      <diagonal/>
    </border>
    <border>
      <left/>
      <right/>
      <top style="thin">
        <color indexed="22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9" tint="-0.499984740745262"/>
      </left>
      <right/>
      <top style="medium">
        <color theme="9" tint="-0.499984740745262"/>
      </top>
      <bottom style="thin">
        <color theme="0"/>
      </bottom>
      <diagonal/>
    </border>
    <border>
      <left/>
      <right/>
      <top style="medium">
        <color theme="9" tint="-0.499984740745262"/>
      </top>
      <bottom style="thin">
        <color theme="0"/>
      </bottom>
      <diagonal/>
    </border>
    <border>
      <left/>
      <right style="thin">
        <color theme="9" tint="-0.499984740745262"/>
      </right>
      <top style="medium">
        <color theme="9" tint="-0.499984740745262"/>
      </top>
      <bottom style="thin">
        <color theme="0"/>
      </bottom>
      <diagonal/>
    </border>
    <border>
      <left style="thin">
        <color theme="2" tint="-0.499984740745262"/>
      </left>
      <right/>
      <top style="thin">
        <color theme="0"/>
      </top>
      <bottom style="thin">
        <color theme="2" tint="-0.499984740745262"/>
      </bottom>
      <diagonal/>
    </border>
    <border>
      <left/>
      <right/>
      <top style="thin">
        <color theme="0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0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medium">
        <color theme="9" tint="-0.499984740745262"/>
      </top>
      <bottom/>
      <diagonal/>
    </border>
    <border>
      <left/>
      <right style="thin">
        <color theme="0" tint="-0.24994659260841701"/>
      </right>
      <top/>
      <bottom style="medium">
        <color theme="9" tint="-0.499984740745262"/>
      </bottom>
      <diagonal/>
    </border>
    <border>
      <left style="thin">
        <color theme="0" tint="-0.24994659260841701"/>
      </left>
      <right/>
      <top style="medium">
        <color theme="9" tint="-0.499984740745262"/>
      </top>
      <bottom/>
      <diagonal/>
    </border>
    <border>
      <left style="thin">
        <color theme="0" tint="-0.24994659260841701"/>
      </left>
      <right/>
      <top/>
      <bottom style="medium">
        <color theme="9" tint="-0.499984740745262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55">
    <xf numFmtId="0" fontId="0" fillId="0" borderId="0" xfId="0"/>
    <xf numFmtId="0" fontId="0" fillId="2" borderId="0" xfId="0" applyFill="1"/>
    <xf numFmtId="0" fontId="12" fillId="0" borderId="0" xfId="0" applyFont="1"/>
    <xf numFmtId="0" fontId="0" fillId="0" borderId="2" xfId="0" applyBorder="1"/>
    <xf numFmtId="3" fontId="0" fillId="0" borderId="0" xfId="0" applyNumberFormat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0" fontId="0" fillId="0" borderId="8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0" xfId="0" applyBorder="1" applyAlignment="1">
      <alignment horizontal="right"/>
    </xf>
    <xf numFmtId="3" fontId="0" fillId="0" borderId="11" xfId="0" applyNumberFormat="1" applyBorder="1"/>
    <xf numFmtId="3" fontId="0" fillId="0" borderId="12" xfId="0" applyNumberFormat="1" applyBorder="1"/>
    <xf numFmtId="3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5" xfId="0" applyBorder="1"/>
    <xf numFmtId="0" fontId="0" fillId="0" borderId="13" xfId="0" applyBorder="1" applyAlignment="1">
      <alignment horizontal="right"/>
    </xf>
    <xf numFmtId="1" fontId="0" fillId="0" borderId="0" xfId="0" applyNumberFormat="1"/>
    <xf numFmtId="4" fontId="0" fillId="0" borderId="11" xfId="0" applyNumberFormat="1" applyBorder="1"/>
    <xf numFmtId="4" fontId="0" fillId="0" borderId="0" xfId="0" applyNumberFormat="1"/>
    <xf numFmtId="4" fontId="0" fillId="0" borderId="5" xfId="0" applyNumberFormat="1" applyBorder="1"/>
    <xf numFmtId="4" fontId="0" fillId="0" borderId="6" xfId="0" applyNumberFormat="1" applyBorder="1"/>
    <xf numFmtId="4" fontId="0" fillId="0" borderId="7" xfId="0" applyNumberFormat="1" applyBorder="1"/>
    <xf numFmtId="10" fontId="0" fillId="0" borderId="0" xfId="0" applyNumberFormat="1"/>
    <xf numFmtId="10" fontId="0" fillId="0" borderId="5" xfId="0" applyNumberFormat="1" applyBorder="1"/>
    <xf numFmtId="2" fontId="0" fillId="0" borderId="0" xfId="0" applyNumberFormat="1"/>
    <xf numFmtId="2" fontId="0" fillId="0" borderId="5" xfId="0" applyNumberFormat="1" applyBorder="1"/>
    <xf numFmtId="2" fontId="0" fillId="0" borderId="3" xfId="0" applyNumberFormat="1" applyBorder="1"/>
    <xf numFmtId="2" fontId="0" fillId="0" borderId="4" xfId="0" applyNumberFormat="1" applyBorder="1"/>
    <xf numFmtId="164" fontId="0" fillId="0" borderId="0" xfId="0" applyNumberFormat="1"/>
    <xf numFmtId="164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10" fontId="0" fillId="0" borderId="3" xfId="0" applyNumberFormat="1" applyBorder="1"/>
    <xf numFmtId="10" fontId="0" fillId="0" borderId="4" xfId="0" applyNumberFormat="1" applyBorder="1"/>
    <xf numFmtId="0" fontId="16" fillId="0" borderId="0" xfId="0" applyFont="1"/>
    <xf numFmtId="1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14" fontId="0" fillId="0" borderId="0" xfId="0" applyNumberFormat="1"/>
    <xf numFmtId="0" fontId="0" fillId="2" borderId="2" xfId="0" applyFill="1" applyBorder="1" applyAlignment="1">
      <alignment horizontal="right"/>
    </xf>
    <xf numFmtId="10" fontId="0" fillId="2" borderId="0" xfId="0" applyNumberFormat="1" applyFill="1"/>
    <xf numFmtId="10" fontId="0" fillId="2" borderId="5" xfId="0" applyNumberFormat="1" applyFill="1" applyBorder="1"/>
    <xf numFmtId="0" fontId="34" fillId="2" borderId="0" xfId="0" applyFont="1" applyFill="1" applyAlignment="1">
      <alignment horizontal="center"/>
    </xf>
    <xf numFmtId="0" fontId="21" fillId="2" borderId="0" xfId="0" applyFont="1" applyFill="1"/>
    <xf numFmtId="0" fontId="26" fillId="2" borderId="0" xfId="0" applyFont="1" applyFill="1" applyAlignment="1">
      <alignment horizontal="left"/>
    </xf>
    <xf numFmtId="0" fontId="26" fillId="0" borderId="0" xfId="0" applyFont="1"/>
    <xf numFmtId="0" fontId="21" fillId="0" borderId="0" xfId="0" applyFont="1"/>
    <xf numFmtId="0" fontId="25" fillId="2" borderId="20" xfId="0" applyFont="1" applyFill="1" applyBorder="1" applyAlignment="1">
      <alignment vertical="center"/>
    </xf>
    <xf numFmtId="0" fontId="25" fillId="2" borderId="16" xfId="0" applyFont="1" applyFill="1" applyBorder="1" applyAlignment="1">
      <alignment vertical="center"/>
    </xf>
    <xf numFmtId="0" fontId="25" fillId="2" borderId="21" xfId="0" applyFont="1" applyFill="1" applyBorder="1" applyAlignment="1">
      <alignment vertical="center"/>
    </xf>
    <xf numFmtId="0" fontId="25" fillId="2" borderId="15" xfId="0" applyFont="1" applyFill="1" applyBorder="1" applyAlignment="1">
      <alignment vertical="center"/>
    </xf>
    <xf numFmtId="0" fontId="25" fillId="2" borderId="1" xfId="0" applyFont="1" applyFill="1" applyBorder="1" applyAlignment="1">
      <alignment vertical="center"/>
    </xf>
    <xf numFmtId="0" fontId="25" fillId="2" borderId="0" xfId="0" applyFont="1" applyFill="1" applyAlignment="1">
      <alignment vertical="center"/>
    </xf>
    <xf numFmtId="0" fontId="25" fillId="2" borderId="16" xfId="0" applyFont="1" applyFill="1" applyBorder="1" applyAlignment="1">
      <alignment vertical="center" shrinkToFit="1"/>
    </xf>
    <xf numFmtId="0" fontId="25" fillId="2" borderId="0" xfId="0" applyFont="1" applyFill="1" applyAlignment="1">
      <alignment vertical="center" shrinkToFit="1"/>
    </xf>
    <xf numFmtId="0" fontId="25" fillId="2" borderId="19" xfId="0" applyFont="1" applyFill="1" applyBorder="1" applyAlignment="1">
      <alignment vertical="center"/>
    </xf>
    <xf numFmtId="0" fontId="25" fillId="2" borderId="17" xfId="0" applyFont="1" applyFill="1" applyBorder="1" applyAlignment="1">
      <alignment vertical="center"/>
    </xf>
    <xf numFmtId="0" fontId="25" fillId="2" borderId="14" xfId="0" applyFont="1" applyFill="1" applyBorder="1" applyAlignment="1">
      <alignment vertical="center"/>
    </xf>
    <xf numFmtId="0" fontId="5" fillId="0" borderId="0" xfId="0" applyFont="1"/>
    <xf numFmtId="0" fontId="21" fillId="0" borderId="0" xfId="0" applyFont="1" applyAlignment="1">
      <alignment horizontal="left"/>
    </xf>
    <xf numFmtId="0" fontId="0" fillId="0" borderId="1" xfId="0" applyBorder="1"/>
    <xf numFmtId="0" fontId="10" fillId="0" borderId="0" xfId="0" applyFont="1" applyAlignment="1">
      <alignment horizontal="left"/>
    </xf>
    <xf numFmtId="0" fontId="1" fillId="0" borderId="0" xfId="0" applyFont="1" applyProtection="1">
      <protection locked="0"/>
    </xf>
    <xf numFmtId="0" fontId="15" fillId="0" borderId="0" xfId="0" applyFont="1" applyAlignment="1">
      <alignment horizontal="center"/>
    </xf>
    <xf numFmtId="0" fontId="1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11" fillId="0" borderId="0" xfId="0" applyFont="1" applyAlignment="1">
      <alignment horizontal="center"/>
    </xf>
    <xf numFmtId="0" fontId="8" fillId="0" borderId="0" xfId="0" applyFont="1"/>
    <xf numFmtId="0" fontId="17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/>
    <xf numFmtId="2" fontId="21" fillId="0" borderId="0" xfId="0" applyNumberFormat="1" applyFont="1"/>
    <xf numFmtId="49" fontId="18" fillId="0" borderId="0" xfId="0" applyNumberFormat="1" applyFont="1" applyAlignment="1">
      <alignment horizontal="center" vertical="center"/>
    </xf>
    <xf numFmtId="0" fontId="0" fillId="0" borderId="14" xfId="0" applyBorder="1"/>
    <xf numFmtId="0" fontId="9" fillId="0" borderId="0" xfId="0" applyFont="1"/>
    <xf numFmtId="0" fontId="9" fillId="0" borderId="1" xfId="0" applyFont="1" applyBorder="1"/>
    <xf numFmtId="0" fontId="7" fillId="0" borderId="0" xfId="0" applyFont="1"/>
    <xf numFmtId="0" fontId="32" fillId="0" borderId="0" xfId="0" applyFont="1"/>
    <xf numFmtId="0" fontId="31" fillId="0" borderId="0" xfId="0" applyFont="1"/>
    <xf numFmtId="0" fontId="20" fillId="0" borderId="0" xfId="0" applyFont="1"/>
    <xf numFmtId="0" fontId="6" fillId="0" borderId="0" xfId="0" applyFont="1"/>
    <xf numFmtId="0" fontId="3" fillId="0" borderId="0" xfId="0" applyFont="1"/>
    <xf numFmtId="0" fontId="31" fillId="2" borderId="0" xfId="0" applyFont="1" applyFill="1"/>
    <xf numFmtId="0" fontId="41" fillId="2" borderId="0" xfId="0" applyFont="1" applyFill="1"/>
    <xf numFmtId="0" fontId="41" fillId="2" borderId="0" xfId="0" applyFont="1" applyFill="1" applyAlignment="1">
      <alignment horizontal="right"/>
    </xf>
    <xf numFmtId="0" fontId="42" fillId="2" borderId="0" xfId="0" applyFont="1" applyFill="1"/>
    <xf numFmtId="0" fontId="42" fillId="2" borderId="0" xfId="0" applyFont="1" applyFill="1" applyAlignment="1">
      <alignment horizontal="right"/>
    </xf>
    <xf numFmtId="49" fontId="43" fillId="2" borderId="0" xfId="0" applyNumberFormat="1" applyFont="1" applyFill="1"/>
    <xf numFmtId="0" fontId="21" fillId="4" borderId="0" xfId="0" applyFont="1" applyFill="1"/>
    <xf numFmtId="0" fontId="26" fillId="4" borderId="0" xfId="0" applyFont="1" applyFill="1"/>
    <xf numFmtId="0" fontId="28" fillId="4" borderId="0" xfId="0" applyFont="1" applyFill="1" applyAlignment="1">
      <alignment vertical="top"/>
    </xf>
    <xf numFmtId="0" fontId="32" fillId="4" borderId="0" xfId="0" applyFont="1" applyFill="1"/>
    <xf numFmtId="0" fontId="45" fillId="0" borderId="0" xfId="0" applyFont="1"/>
    <xf numFmtId="0" fontId="29" fillId="6" borderId="15" xfId="0" applyFont="1" applyFill="1" applyBorder="1"/>
    <xf numFmtId="0" fontId="29" fillId="6" borderId="0" xfId="0" applyFont="1" applyFill="1"/>
    <xf numFmtId="0" fontId="29" fillId="6" borderId="1" xfId="0" applyFont="1" applyFill="1" applyBorder="1"/>
    <xf numFmtId="0" fontId="21" fillId="6" borderId="14" xfId="0" applyFont="1" applyFill="1" applyBorder="1"/>
    <xf numFmtId="0" fontId="21" fillId="5" borderId="0" xfId="0" applyFont="1" applyFill="1"/>
    <xf numFmtId="0" fontId="0" fillId="5" borderId="0" xfId="0" applyFill="1"/>
    <xf numFmtId="0" fontId="39" fillId="0" borderId="0" xfId="0" applyFont="1" applyAlignment="1">
      <alignment vertical="center"/>
    </xf>
    <xf numFmtId="0" fontId="63" fillId="0" borderId="0" xfId="0" applyFont="1" applyAlignment="1">
      <alignment vertical="center"/>
    </xf>
    <xf numFmtId="0" fontId="0" fillId="6" borderId="0" xfId="0" applyFill="1"/>
    <xf numFmtId="0" fontId="30" fillId="0" borderId="0" xfId="0" applyFont="1" applyAlignment="1">
      <alignment vertical="center"/>
    </xf>
    <xf numFmtId="0" fontId="30" fillId="6" borderId="0" xfId="0" applyFont="1" applyFill="1" applyAlignment="1">
      <alignment vertical="center"/>
    </xf>
    <xf numFmtId="0" fontId="34" fillId="6" borderId="0" xfId="0" applyFont="1" applyFill="1" applyAlignment="1">
      <alignment horizontal="center"/>
    </xf>
    <xf numFmtId="0" fontId="64" fillId="6" borderId="0" xfId="0" applyFont="1" applyFill="1" applyAlignment="1">
      <alignment horizontal="center"/>
    </xf>
    <xf numFmtId="0" fontId="64" fillId="6" borderId="0" xfId="0" applyFont="1" applyFill="1" applyAlignment="1">
      <alignment vertical="center"/>
    </xf>
    <xf numFmtId="0" fontId="0" fillId="6" borderId="87" xfId="0" applyFill="1" applyBorder="1"/>
    <xf numFmtId="0" fontId="0" fillId="6" borderId="88" xfId="0" applyFill="1" applyBorder="1"/>
    <xf numFmtId="0" fontId="30" fillId="6" borderId="87" xfId="0" applyFont="1" applyFill="1" applyBorder="1" applyAlignment="1">
      <alignment vertical="center"/>
    </xf>
    <xf numFmtId="0" fontId="30" fillId="6" borderId="88" xfId="0" applyFont="1" applyFill="1" applyBorder="1" applyAlignment="1">
      <alignment vertical="center"/>
    </xf>
    <xf numFmtId="0" fontId="34" fillId="6" borderId="87" xfId="0" applyFont="1" applyFill="1" applyBorder="1" applyAlignment="1">
      <alignment horizontal="center"/>
    </xf>
    <xf numFmtId="0" fontId="67" fillId="6" borderId="0" xfId="0" applyFont="1" applyFill="1" applyAlignment="1">
      <alignment horizontal="left" vertical="center" readingOrder="1"/>
    </xf>
    <xf numFmtId="0" fontId="16" fillId="6" borderId="0" xfId="0" applyFont="1" applyFill="1"/>
    <xf numFmtId="0" fontId="64" fillId="0" borderId="0" xfId="0" applyFont="1" applyAlignment="1">
      <alignment vertical="center"/>
    </xf>
    <xf numFmtId="0" fontId="72" fillId="6" borderId="0" xfId="0" applyFont="1" applyFill="1" applyAlignment="1">
      <alignment horizontal="left" vertical="center" readingOrder="1"/>
    </xf>
    <xf numFmtId="0" fontId="68" fillId="6" borderId="0" xfId="0" applyFont="1" applyFill="1" applyAlignment="1">
      <alignment horizontal="left" vertical="center" readingOrder="1"/>
    </xf>
    <xf numFmtId="0" fontId="71" fillId="6" borderId="0" xfId="0" applyFont="1" applyFill="1" applyAlignment="1">
      <alignment horizontal="left" vertical="center" readingOrder="1"/>
    </xf>
    <xf numFmtId="0" fontId="65" fillId="6" borderId="0" xfId="0" applyFont="1" applyFill="1" applyAlignment="1">
      <alignment horizontal="left" vertical="center" readingOrder="1"/>
    </xf>
    <xf numFmtId="0" fontId="58" fillId="6" borderId="0" xfId="0" applyFont="1" applyFill="1" applyAlignment="1">
      <alignment horizontal="left"/>
    </xf>
    <xf numFmtId="0" fontId="75" fillId="6" borderId="0" xfId="0" applyFont="1" applyFill="1"/>
    <xf numFmtId="0" fontId="58" fillId="6" borderId="0" xfId="0" applyFont="1" applyFill="1"/>
    <xf numFmtId="0" fontId="77" fillId="6" borderId="0" xfId="0" applyFont="1" applyFill="1" applyAlignment="1">
      <alignment horizontal="left" vertical="center" readingOrder="1"/>
    </xf>
    <xf numFmtId="0" fontId="34" fillId="0" borderId="0" xfId="0" applyFont="1" applyAlignment="1">
      <alignment horizontal="center"/>
    </xf>
    <xf numFmtId="0" fontId="21" fillId="0" borderId="87" xfId="0" applyFont="1" applyBorder="1"/>
    <xf numFmtId="0" fontId="21" fillId="0" borderId="88" xfId="0" applyFont="1" applyBorder="1"/>
    <xf numFmtId="0" fontId="21" fillId="6" borderId="87" xfId="0" applyFont="1" applyFill="1" applyBorder="1"/>
    <xf numFmtId="0" fontId="21" fillId="6" borderId="0" xfId="0" applyFont="1" applyFill="1"/>
    <xf numFmtId="0" fontId="21" fillId="6" borderId="88" xfId="0" applyFont="1" applyFill="1" applyBorder="1"/>
    <xf numFmtId="0" fontId="58" fillId="6" borderId="87" xfId="0" applyFont="1" applyFill="1" applyBorder="1"/>
    <xf numFmtId="0" fontId="58" fillId="6" borderId="88" xfId="0" applyFont="1" applyFill="1" applyBorder="1"/>
    <xf numFmtId="0" fontId="21" fillId="0" borderId="92" xfId="0" applyFont="1" applyBorder="1"/>
    <xf numFmtId="0" fontId="21" fillId="0" borderId="94" xfId="0" applyFont="1" applyBorder="1"/>
    <xf numFmtId="0" fontId="47" fillId="0" borderId="0" xfId="0" applyFont="1" applyAlignment="1">
      <alignment vertical="center"/>
    </xf>
    <xf numFmtId="0" fontId="58" fillId="4" borderId="0" xfId="0" applyFont="1" applyFill="1"/>
    <xf numFmtId="0" fontId="76" fillId="4" borderId="0" xfId="0" applyFont="1" applyFill="1"/>
    <xf numFmtId="0" fontId="46" fillId="0" borderId="0" xfId="0" applyFont="1" applyAlignment="1">
      <alignment vertical="center"/>
    </xf>
    <xf numFmtId="0" fontId="1" fillId="6" borderId="0" xfId="0" applyFont="1" applyFill="1"/>
    <xf numFmtId="0" fontId="26" fillId="6" borderId="87" xfId="0" applyFont="1" applyFill="1" applyBorder="1"/>
    <xf numFmtId="0" fontId="76" fillId="6" borderId="0" xfId="0" applyFont="1" applyFill="1"/>
    <xf numFmtId="0" fontId="26" fillId="6" borderId="0" xfId="0" applyFont="1" applyFill="1"/>
    <xf numFmtId="0" fontId="0" fillId="6" borderId="90" xfId="0" applyFill="1" applyBorder="1"/>
    <xf numFmtId="0" fontId="21" fillId="6" borderId="91" xfId="0" applyFont="1" applyFill="1" applyBorder="1"/>
    <xf numFmtId="0" fontId="0" fillId="0" borderId="93" xfId="0" applyBorder="1"/>
    <xf numFmtId="0" fontId="26" fillId="0" borderId="93" xfId="0" applyFont="1" applyBorder="1"/>
    <xf numFmtId="0" fontId="26" fillId="0" borderId="90" xfId="0" applyFont="1" applyBorder="1"/>
    <xf numFmtId="0" fontId="21" fillId="0" borderId="91" xfId="0" applyFont="1" applyBorder="1"/>
    <xf numFmtId="0" fontId="58" fillId="2" borderId="0" xfId="0" applyFont="1" applyFill="1"/>
    <xf numFmtId="0" fontId="58" fillId="0" borderId="0" xfId="0" applyFont="1"/>
    <xf numFmtId="0" fontId="58" fillId="0" borderId="0" xfId="0" applyFont="1" applyAlignment="1">
      <alignment vertical="center"/>
    </xf>
    <xf numFmtId="0" fontId="21" fillId="0" borderId="93" xfId="0" applyFont="1" applyBorder="1"/>
    <xf numFmtId="0" fontId="64" fillId="6" borderId="88" xfId="0" applyFont="1" applyFill="1" applyBorder="1" applyAlignment="1">
      <alignment vertical="center"/>
    </xf>
    <xf numFmtId="0" fontId="64" fillId="6" borderId="90" xfId="0" applyFont="1" applyFill="1" applyBorder="1" applyAlignment="1">
      <alignment vertical="center"/>
    </xf>
    <xf numFmtId="1" fontId="58" fillId="0" borderId="0" xfId="0" applyNumberFormat="1" applyFont="1" applyAlignment="1" applyProtection="1">
      <alignment vertical="center"/>
      <protection locked="0"/>
    </xf>
    <xf numFmtId="0" fontId="84" fillId="6" borderId="90" xfId="0" applyFont="1" applyFill="1" applyBorder="1" applyAlignment="1">
      <alignment vertical="center"/>
    </xf>
    <xf numFmtId="0" fontId="58" fillId="6" borderId="15" xfId="0" applyFont="1" applyFill="1" applyBorder="1"/>
    <xf numFmtId="167" fontId="83" fillId="6" borderId="0" xfId="0" applyNumberFormat="1" applyFont="1" applyFill="1" applyAlignment="1">
      <alignment vertical="center"/>
    </xf>
    <xf numFmtId="0" fontId="72" fillId="6" borderId="0" xfId="0" applyFont="1" applyFill="1" applyAlignment="1">
      <alignment horizontal="left"/>
    </xf>
    <xf numFmtId="0" fontId="59" fillId="6" borderId="17" xfId="0" applyFont="1" applyFill="1" applyBorder="1"/>
    <xf numFmtId="0" fontId="58" fillId="6" borderId="14" xfId="0" applyFont="1" applyFill="1" applyBorder="1"/>
    <xf numFmtId="0" fontId="59" fillId="6" borderId="15" xfId="0" applyFont="1" applyFill="1" applyBorder="1"/>
    <xf numFmtId="0" fontId="35" fillId="0" borderId="0" xfId="0" applyFont="1" applyAlignment="1">
      <alignment vertical="center"/>
    </xf>
    <xf numFmtId="0" fontId="35" fillId="6" borderId="87" xfId="0" applyFont="1" applyFill="1" applyBorder="1" applyAlignment="1">
      <alignment vertical="center"/>
    </xf>
    <xf numFmtId="0" fontId="35" fillId="6" borderId="0" xfId="0" applyFont="1" applyFill="1" applyAlignment="1">
      <alignment vertical="center"/>
    </xf>
    <xf numFmtId="0" fontId="35" fillId="6" borderId="88" xfId="0" applyFont="1" applyFill="1" applyBorder="1" applyAlignment="1">
      <alignment vertical="center"/>
    </xf>
    <xf numFmtId="0" fontId="46" fillId="6" borderId="0" xfId="0" applyFont="1" applyFill="1" applyAlignment="1">
      <alignment vertical="center"/>
    </xf>
    <xf numFmtId="0" fontId="21" fillId="0" borderId="0" xfId="0" applyFont="1" applyAlignment="1">
      <alignment vertical="center"/>
    </xf>
    <xf numFmtId="0" fontId="26" fillId="6" borderId="14" xfId="0" applyFont="1" applyFill="1" applyBorder="1"/>
    <xf numFmtId="167" fontId="36" fillId="6" borderId="0" xfId="0" applyNumberFormat="1" applyFont="1" applyFill="1" applyAlignment="1">
      <alignment vertical="center"/>
    </xf>
    <xf numFmtId="0" fontId="27" fillId="6" borderId="87" xfId="0" applyFont="1" applyFill="1" applyBorder="1"/>
    <xf numFmtId="0" fontId="76" fillId="8" borderId="96" xfId="0" applyFont="1" applyFill="1" applyBorder="1" applyAlignment="1">
      <alignment vertical="center"/>
    </xf>
    <xf numFmtId="0" fontId="58" fillId="8" borderId="96" xfId="0" applyFont="1" applyFill="1" applyBorder="1" applyAlignment="1">
      <alignment vertical="center"/>
    </xf>
    <xf numFmtId="1" fontId="58" fillId="8" borderId="96" xfId="0" applyNumberFormat="1" applyFont="1" applyFill="1" applyBorder="1" applyAlignment="1" applyProtection="1">
      <alignment vertical="center"/>
      <protection locked="0"/>
    </xf>
    <xf numFmtId="0" fontId="37" fillId="6" borderId="87" xfId="0" applyFont="1" applyFill="1" applyBorder="1"/>
    <xf numFmtId="0" fontId="21" fillId="6" borderId="88" xfId="0" applyFont="1" applyFill="1" applyBorder="1" applyAlignment="1">
      <alignment vertical="center"/>
    </xf>
    <xf numFmtId="0" fontId="21" fillId="6" borderId="89" xfId="0" applyFont="1" applyFill="1" applyBorder="1"/>
    <xf numFmtId="0" fontId="21" fillId="6" borderId="90" xfId="0" applyFont="1" applyFill="1" applyBorder="1"/>
    <xf numFmtId="1" fontId="58" fillId="8" borderId="98" xfId="0" applyNumberFormat="1" applyFont="1" applyFill="1" applyBorder="1" applyAlignment="1" applyProtection="1">
      <alignment vertical="center"/>
      <protection locked="0"/>
    </xf>
    <xf numFmtId="0" fontId="21" fillId="6" borderId="97" xfId="0" applyFont="1" applyFill="1" applyBorder="1"/>
    <xf numFmtId="0" fontId="21" fillId="6" borderId="99" xfId="0" applyFont="1" applyFill="1" applyBorder="1"/>
    <xf numFmtId="167" fontId="36" fillId="6" borderId="97" xfId="0" applyNumberFormat="1" applyFont="1" applyFill="1" applyBorder="1" applyAlignment="1">
      <alignment vertical="center"/>
    </xf>
    <xf numFmtId="0" fontId="26" fillId="6" borderId="97" xfId="0" applyFont="1" applyFill="1" applyBorder="1" applyAlignment="1">
      <alignment horizontal="left"/>
    </xf>
    <xf numFmtId="0" fontId="0" fillId="6" borderId="89" xfId="0" applyFill="1" applyBorder="1"/>
    <xf numFmtId="167" fontId="36" fillId="6" borderId="99" xfId="0" applyNumberFormat="1" applyFont="1" applyFill="1" applyBorder="1" applyAlignment="1">
      <alignment vertical="center"/>
    </xf>
    <xf numFmtId="0" fontId="0" fillId="6" borderId="99" xfId="0" applyFill="1" applyBorder="1"/>
    <xf numFmtId="0" fontId="8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" fontId="21" fillId="0" borderId="0" xfId="0" applyNumberFormat="1" applyFont="1" applyAlignment="1" applyProtection="1">
      <alignment vertical="center"/>
      <protection locked="0"/>
    </xf>
    <xf numFmtId="0" fontId="21" fillId="6" borderId="87" xfId="0" applyFont="1" applyFill="1" applyBorder="1" applyAlignment="1">
      <alignment vertical="center"/>
    </xf>
    <xf numFmtId="1" fontId="21" fillId="6" borderId="0" xfId="0" applyNumberFormat="1" applyFont="1" applyFill="1" applyAlignment="1" applyProtection="1">
      <alignment vertical="center"/>
      <protection locked="0"/>
    </xf>
    <xf numFmtId="0" fontId="24" fillId="6" borderId="0" xfId="0" applyFont="1" applyFill="1"/>
    <xf numFmtId="1" fontId="25" fillId="6" borderId="0" xfId="0" applyNumberFormat="1" applyFont="1" applyFill="1" applyAlignment="1" applyProtection="1">
      <alignment horizontal="left" vertical="center" shrinkToFit="1"/>
      <protection locked="0"/>
    </xf>
    <xf numFmtId="167" fontId="38" fillId="6" borderId="0" xfId="0" applyNumberFormat="1" applyFont="1" applyFill="1" applyAlignment="1">
      <alignment vertical="center"/>
    </xf>
    <xf numFmtId="0" fontId="24" fillId="0" borderId="93" xfId="0" applyFont="1" applyBorder="1"/>
    <xf numFmtId="0" fontId="21" fillId="6" borderId="15" xfId="0" applyFont="1" applyFill="1" applyBorder="1"/>
    <xf numFmtId="167" fontId="38" fillId="6" borderId="18" xfId="0" applyNumberFormat="1" applyFont="1" applyFill="1" applyBorder="1" applyAlignment="1">
      <alignment vertical="center"/>
    </xf>
    <xf numFmtId="0" fontId="32" fillId="6" borderId="18" xfId="0" applyFont="1" applyFill="1" applyBorder="1" applyAlignment="1">
      <alignment horizontal="left"/>
    </xf>
    <xf numFmtId="0" fontId="21" fillId="6" borderId="18" xfId="0" applyFont="1" applyFill="1" applyBorder="1"/>
    <xf numFmtId="0" fontId="56" fillId="6" borderId="0" xfId="0" applyFont="1" applyFill="1"/>
    <xf numFmtId="0" fontId="27" fillId="6" borderId="15" xfId="0" applyFont="1" applyFill="1" applyBorder="1"/>
    <xf numFmtId="0" fontId="53" fillId="6" borderId="0" xfId="0" applyFont="1" applyFill="1" applyAlignment="1">
      <alignment horizontal="left"/>
    </xf>
    <xf numFmtId="0" fontId="32" fillId="6" borderId="0" xfId="0" applyFont="1" applyFill="1"/>
    <xf numFmtId="0" fontId="21" fillId="6" borderId="17" xfId="0" applyFont="1" applyFill="1" applyBorder="1"/>
    <xf numFmtId="0" fontId="73" fillId="6" borderId="15" xfId="0" applyFont="1" applyFill="1" applyBorder="1"/>
    <xf numFmtId="0" fontId="37" fillId="6" borderId="15" xfId="0" applyFont="1" applyFill="1" applyBorder="1"/>
    <xf numFmtId="0" fontId="21" fillId="4" borderId="90" xfId="0" applyFont="1" applyFill="1" applyBorder="1"/>
    <xf numFmtId="0" fontId="0" fillId="4" borderId="90" xfId="0" applyFill="1" applyBorder="1"/>
    <xf numFmtId="0" fontId="58" fillId="5" borderId="40" xfId="0" applyFont="1" applyFill="1" applyBorder="1" applyProtection="1">
      <protection locked="0"/>
    </xf>
    <xf numFmtId="0" fontId="58" fillId="5" borderId="41" xfId="0" applyFont="1" applyFill="1" applyBorder="1" applyProtection="1">
      <protection locked="0"/>
    </xf>
    <xf numFmtId="0" fontId="58" fillId="5" borderId="43" xfId="0" applyFont="1" applyFill="1" applyBorder="1" applyProtection="1">
      <protection locked="0"/>
    </xf>
    <xf numFmtId="0" fontId="58" fillId="5" borderId="44" xfId="0" applyFont="1" applyFill="1" applyBorder="1" applyProtection="1">
      <protection locked="0"/>
    </xf>
    <xf numFmtId="0" fontId="58" fillId="5" borderId="46" xfId="0" applyFont="1" applyFill="1" applyBorder="1" applyProtection="1">
      <protection locked="0"/>
    </xf>
    <xf numFmtId="0" fontId="58" fillId="5" borderId="47" xfId="0" applyFont="1" applyFill="1" applyBorder="1" applyProtection="1">
      <protection locked="0"/>
    </xf>
    <xf numFmtId="0" fontId="58" fillId="7" borderId="40" xfId="0" applyFont="1" applyFill="1" applyBorder="1" applyProtection="1">
      <protection locked="0"/>
    </xf>
    <xf numFmtId="0" fontId="58" fillId="7" borderId="43" xfId="0" applyFont="1" applyFill="1" applyBorder="1" applyProtection="1">
      <protection locked="0"/>
    </xf>
    <xf numFmtId="0" fontId="58" fillId="7" borderId="46" xfId="0" applyFont="1" applyFill="1" applyBorder="1" applyProtection="1">
      <protection locked="0"/>
    </xf>
    <xf numFmtId="0" fontId="48" fillId="9" borderId="100" xfId="0" applyFont="1" applyFill="1" applyBorder="1" applyAlignment="1">
      <alignment horizontal="center"/>
    </xf>
    <xf numFmtId="0" fontId="96" fillId="6" borderId="15" xfId="0" applyFont="1" applyFill="1" applyBorder="1" applyAlignment="1">
      <alignment horizontal="center"/>
    </xf>
    <xf numFmtId="0" fontId="96" fillId="6" borderId="0" xfId="0" applyFont="1" applyFill="1" applyAlignment="1">
      <alignment horizontal="center"/>
    </xf>
    <xf numFmtId="0" fontId="97" fillId="6" borderId="0" xfId="0" applyFont="1" applyFill="1"/>
    <xf numFmtId="0" fontId="98" fillId="6" borderId="1" xfId="0" applyFont="1" applyFill="1" applyBorder="1" applyAlignment="1">
      <alignment horizontal="center"/>
    </xf>
    <xf numFmtId="0" fontId="54" fillId="6" borderId="0" xfId="0" applyFont="1" applyFill="1" applyAlignment="1">
      <alignment horizontal="center"/>
    </xf>
    <xf numFmtId="0" fontId="99" fillId="6" borderId="0" xfId="0" applyFont="1" applyFill="1" applyAlignment="1">
      <alignment horizontal="center" shrinkToFit="1"/>
    </xf>
    <xf numFmtId="0" fontId="56" fillId="6" borderId="0" xfId="0" applyFont="1" applyFill="1" applyAlignment="1">
      <alignment horizontal="center"/>
    </xf>
    <xf numFmtId="1" fontId="101" fillId="6" borderId="0" xfId="0" applyNumberFormat="1" applyFont="1" applyFill="1" applyAlignment="1">
      <alignment horizontal="center"/>
    </xf>
    <xf numFmtId="3" fontId="53" fillId="6" borderId="0" xfId="0" applyNumberFormat="1" applyFont="1" applyFill="1" applyAlignment="1">
      <alignment horizontal="right" shrinkToFit="1"/>
    </xf>
    <xf numFmtId="0" fontId="56" fillId="6" borderId="1" xfId="0" applyFont="1" applyFill="1" applyBorder="1"/>
    <xf numFmtId="10" fontId="53" fillId="6" borderId="0" xfId="0" applyNumberFormat="1" applyFont="1" applyFill="1" applyAlignment="1">
      <alignment horizontal="right" shrinkToFit="1"/>
    </xf>
    <xf numFmtId="1" fontId="101" fillId="6" borderId="14" xfId="0" applyNumberFormat="1" applyFont="1" applyFill="1" applyBorder="1" applyAlignment="1">
      <alignment horizontal="center"/>
    </xf>
    <xf numFmtId="0" fontId="98" fillId="6" borderId="19" xfId="0" applyFont="1" applyFill="1" applyBorder="1" applyAlignment="1">
      <alignment horizontal="center"/>
    </xf>
    <xf numFmtId="0" fontId="100" fillId="6" borderId="16" xfId="0" applyFont="1" applyFill="1" applyBorder="1"/>
    <xf numFmtId="0" fontId="100" fillId="6" borderId="21" xfId="0" applyFont="1" applyFill="1" applyBorder="1"/>
    <xf numFmtId="0" fontId="100" fillId="6" borderId="0" xfId="0" applyFont="1" applyFill="1"/>
    <xf numFmtId="0" fontId="100" fillId="6" borderId="1" xfId="0" applyFont="1" applyFill="1" applyBorder="1"/>
    <xf numFmtId="0" fontId="100" fillId="6" borderId="14" xfId="0" applyFont="1" applyFill="1" applyBorder="1"/>
    <xf numFmtId="0" fontId="100" fillId="6" borderId="19" xfId="0" applyFont="1" applyFill="1" applyBorder="1"/>
    <xf numFmtId="0" fontId="33" fillId="6" borderId="14" xfId="0" applyFont="1" applyFill="1" applyBorder="1" applyAlignment="1">
      <alignment horizontal="center" vertical="top"/>
    </xf>
    <xf numFmtId="0" fontId="26" fillId="6" borderId="17" xfId="0" applyFont="1" applyFill="1" applyBorder="1"/>
    <xf numFmtId="0" fontId="100" fillId="6" borderId="15" xfId="0" applyFont="1" applyFill="1" applyBorder="1" applyAlignment="1">
      <alignment horizontal="center"/>
    </xf>
    <xf numFmtId="2" fontId="101" fillId="6" borderId="0" xfId="0" applyNumberFormat="1" applyFont="1" applyFill="1" applyAlignment="1">
      <alignment horizontal="center"/>
    </xf>
    <xf numFmtId="0" fontId="98" fillId="6" borderId="15" xfId="0" applyFont="1" applyFill="1" applyBorder="1" applyAlignment="1">
      <alignment horizontal="center"/>
    </xf>
    <xf numFmtId="0" fontId="53" fillId="4" borderId="29" xfId="0" applyFont="1" applyFill="1" applyBorder="1" applyAlignment="1">
      <alignment horizontal="right"/>
    </xf>
    <xf numFmtId="0" fontId="53" fillId="4" borderId="32" xfId="0" applyFont="1" applyFill="1" applyBorder="1" applyAlignment="1">
      <alignment horizontal="right"/>
    </xf>
    <xf numFmtId="0" fontId="103" fillId="6" borderId="0" xfId="0" applyFont="1" applyFill="1"/>
    <xf numFmtId="0" fontId="55" fillId="4" borderId="28" xfId="0" applyFont="1" applyFill="1" applyBorder="1" applyAlignment="1">
      <alignment horizontal="right"/>
    </xf>
    <xf numFmtId="0" fontId="53" fillId="4" borderId="37" xfId="0" applyFont="1" applyFill="1" applyBorder="1" applyAlignment="1">
      <alignment horizontal="right"/>
    </xf>
    <xf numFmtId="0" fontId="53" fillId="6" borderId="16" xfId="0" applyFont="1" applyFill="1" applyBorder="1" applyAlignment="1">
      <alignment horizontal="right"/>
    </xf>
    <xf numFmtId="165" fontId="53" fillId="6" borderId="16" xfId="0" applyNumberFormat="1" applyFont="1" applyFill="1" applyBorder="1" applyAlignment="1">
      <alignment horizontal="right"/>
    </xf>
    <xf numFmtId="0" fontId="55" fillId="4" borderId="37" xfId="0" applyFont="1" applyFill="1" applyBorder="1" applyAlignment="1">
      <alignment horizontal="right"/>
    </xf>
    <xf numFmtId="0" fontId="55" fillId="4" borderId="32" xfId="0" applyFont="1" applyFill="1" applyBorder="1" applyAlignment="1">
      <alignment horizontal="right"/>
    </xf>
    <xf numFmtId="0" fontId="53" fillId="6" borderId="0" xfId="0" applyFont="1" applyFill="1" applyAlignment="1">
      <alignment horizontal="right"/>
    </xf>
    <xf numFmtId="165" fontId="53" fillId="6" borderId="0" xfId="0" applyNumberFormat="1" applyFont="1" applyFill="1" applyAlignment="1">
      <alignment horizontal="right"/>
    </xf>
    <xf numFmtId="0" fontId="55" fillId="6" borderId="32" xfId="0" applyFont="1" applyFill="1" applyBorder="1" applyAlignment="1">
      <alignment horizontal="right"/>
    </xf>
    <xf numFmtId="4" fontId="56" fillId="6" borderId="0" xfId="0" applyNumberFormat="1" applyFont="1" applyFill="1" applyAlignment="1">
      <alignment horizontal="right"/>
    </xf>
    <xf numFmtId="0" fontId="55" fillId="4" borderId="29" xfId="0" applyFont="1" applyFill="1" applyBorder="1" applyAlignment="1">
      <alignment horizontal="right"/>
    </xf>
    <xf numFmtId="0" fontId="54" fillId="8" borderId="33" xfId="0" applyFont="1" applyFill="1" applyBorder="1" applyAlignment="1">
      <alignment horizontal="center"/>
    </xf>
    <xf numFmtId="0" fontId="98" fillId="8" borderId="33" xfId="0" applyFont="1" applyFill="1" applyBorder="1" applyAlignment="1">
      <alignment horizontal="center"/>
    </xf>
    <xf numFmtId="0" fontId="58" fillId="6" borderId="87" xfId="0" applyFont="1" applyFill="1" applyBorder="1" applyAlignment="1">
      <alignment vertical="center"/>
    </xf>
    <xf numFmtId="1" fontId="58" fillId="6" borderId="88" xfId="0" applyNumberFormat="1" applyFont="1" applyFill="1" applyBorder="1" applyAlignment="1" applyProtection="1">
      <alignment vertical="center"/>
      <protection locked="0"/>
    </xf>
    <xf numFmtId="0" fontId="58" fillId="6" borderId="88" xfId="0" applyFont="1" applyFill="1" applyBorder="1" applyAlignment="1">
      <alignment vertical="center"/>
    </xf>
    <xf numFmtId="0" fontId="76" fillId="8" borderId="101" xfId="0" applyFont="1" applyFill="1" applyBorder="1" applyAlignment="1">
      <alignment vertical="center"/>
    </xf>
    <xf numFmtId="0" fontId="76" fillId="8" borderId="102" xfId="0" applyFont="1" applyFill="1" applyBorder="1" applyAlignment="1">
      <alignment vertical="center"/>
    </xf>
    <xf numFmtId="1" fontId="58" fillId="8" borderId="103" xfId="0" applyNumberFormat="1" applyFont="1" applyFill="1" applyBorder="1" applyAlignment="1" applyProtection="1">
      <alignment vertical="center"/>
      <protection locked="0"/>
    </xf>
    <xf numFmtId="1" fontId="58" fillId="8" borderId="102" xfId="0" applyNumberFormat="1" applyFont="1" applyFill="1" applyBorder="1" applyAlignment="1" applyProtection="1">
      <alignment vertical="center"/>
      <protection locked="0"/>
    </xf>
    <xf numFmtId="1" fontId="58" fillId="8" borderId="104" xfId="0" applyNumberFormat="1" applyFont="1" applyFill="1" applyBorder="1" applyAlignment="1" applyProtection="1">
      <alignment vertical="center"/>
      <protection locked="0"/>
    </xf>
    <xf numFmtId="0" fontId="58" fillId="6" borderId="105" xfId="0" applyFont="1" applyFill="1" applyBorder="1" applyAlignment="1">
      <alignment vertical="center"/>
    </xf>
    <xf numFmtId="1" fontId="58" fillId="8" borderId="106" xfId="0" applyNumberFormat="1" applyFont="1" applyFill="1" applyBorder="1" applyAlignment="1" applyProtection="1">
      <alignment vertical="center"/>
      <protection locked="0"/>
    </xf>
    <xf numFmtId="1" fontId="58" fillId="6" borderId="105" xfId="0" applyNumberFormat="1" applyFont="1" applyFill="1" applyBorder="1" applyAlignment="1" applyProtection="1">
      <alignment vertical="center"/>
      <protection locked="0"/>
    </xf>
    <xf numFmtId="1" fontId="58" fillId="8" borderId="107" xfId="0" applyNumberFormat="1" applyFont="1" applyFill="1" applyBorder="1" applyAlignment="1" applyProtection="1">
      <alignment vertical="center"/>
      <protection locked="0"/>
    </xf>
    <xf numFmtId="1" fontId="58" fillId="8" borderId="108" xfId="0" applyNumberFormat="1" applyFont="1" applyFill="1" applyBorder="1" applyAlignment="1" applyProtection="1">
      <alignment vertical="center"/>
      <protection locked="0"/>
    </xf>
    <xf numFmtId="0" fontId="106" fillId="2" borderId="0" xfId="0" applyFont="1" applyFill="1" applyAlignment="1">
      <alignment vertical="center"/>
    </xf>
    <xf numFmtId="0" fontId="106" fillId="2" borderId="0" xfId="0" applyFont="1" applyFill="1" applyAlignment="1">
      <alignment vertical="center" shrinkToFit="1"/>
    </xf>
    <xf numFmtId="0" fontId="58" fillId="0" borderId="14" xfId="0" applyFont="1" applyBorder="1"/>
    <xf numFmtId="3" fontId="54" fillId="2" borderId="14" xfId="0" applyNumberFormat="1" applyFont="1" applyFill="1" applyBorder="1" applyAlignment="1">
      <alignment vertical="center" shrinkToFit="1"/>
    </xf>
    <xf numFmtId="3" fontId="54" fillId="2" borderId="14" xfId="0" applyNumberFormat="1" applyFont="1" applyFill="1" applyBorder="1" applyAlignment="1">
      <alignment vertical="center"/>
    </xf>
    <xf numFmtId="0" fontId="58" fillId="0" borderId="16" xfId="0" applyFont="1" applyBorder="1"/>
    <xf numFmtId="3" fontId="54" fillId="2" borderId="16" xfId="0" applyNumberFormat="1" applyFont="1" applyFill="1" applyBorder="1" applyAlignment="1">
      <alignment vertical="center" shrinkToFit="1"/>
    </xf>
    <xf numFmtId="3" fontId="54" fillId="2" borderId="16" xfId="0" applyNumberFormat="1" applyFont="1" applyFill="1" applyBorder="1" applyAlignment="1">
      <alignment vertical="center"/>
    </xf>
    <xf numFmtId="166" fontId="60" fillId="2" borderId="0" xfId="0" applyNumberFormat="1" applyFont="1" applyFill="1" applyAlignment="1">
      <alignment vertical="center" shrinkToFit="1"/>
    </xf>
    <xf numFmtId="3" fontId="56" fillId="2" borderId="16" xfId="0" applyNumberFormat="1" applyFont="1" applyFill="1" applyBorder="1" applyAlignment="1">
      <alignment vertical="center" shrinkToFit="1"/>
    </xf>
    <xf numFmtId="3" fontId="56" fillId="2" borderId="16" xfId="0" applyNumberFormat="1" applyFont="1" applyFill="1" applyBorder="1" applyAlignment="1">
      <alignment vertical="center"/>
    </xf>
    <xf numFmtId="3" fontId="56" fillId="2" borderId="0" xfId="0" applyNumberFormat="1" applyFont="1" applyFill="1" applyAlignment="1">
      <alignment vertical="center" shrinkToFit="1"/>
    </xf>
    <xf numFmtId="3" fontId="56" fillId="2" borderId="0" xfId="0" applyNumberFormat="1" applyFont="1" applyFill="1" applyAlignment="1">
      <alignment vertical="center"/>
    </xf>
    <xf numFmtId="0" fontId="56" fillId="2" borderId="0" xfId="0" applyFont="1" applyFill="1" applyAlignment="1">
      <alignment horizontal="right" vertical="center"/>
    </xf>
    <xf numFmtId="166" fontId="106" fillId="2" borderId="0" xfId="0" applyNumberFormat="1" applyFont="1" applyFill="1" applyAlignment="1">
      <alignment vertical="center" shrinkToFit="1"/>
    </xf>
    <xf numFmtId="0" fontId="54" fillId="2" borderId="0" xfId="0" applyFont="1" applyFill="1" applyAlignment="1">
      <alignment horizontal="center" vertical="center"/>
    </xf>
    <xf numFmtId="49" fontId="56" fillId="2" borderId="0" xfId="0" applyNumberFormat="1" applyFont="1" applyFill="1" applyAlignment="1">
      <alignment horizontal="center" vertical="center" shrinkToFit="1"/>
    </xf>
    <xf numFmtId="0" fontId="58" fillId="0" borderId="48" xfId="0" applyFont="1" applyBorder="1"/>
    <xf numFmtId="3" fontId="54" fillId="2" borderId="48" xfId="0" applyNumberFormat="1" applyFont="1" applyFill="1" applyBorder="1" applyAlignment="1">
      <alignment vertical="center" shrinkToFit="1"/>
    </xf>
    <xf numFmtId="3" fontId="54" fillId="2" borderId="48" xfId="0" applyNumberFormat="1" applyFont="1" applyFill="1" applyBorder="1" applyAlignment="1">
      <alignment vertical="center"/>
    </xf>
    <xf numFmtId="0" fontId="58" fillId="0" borderId="59" xfId="0" applyFont="1" applyBorder="1"/>
    <xf numFmtId="3" fontId="54" fillId="2" borderId="59" xfId="0" applyNumberFormat="1" applyFont="1" applyFill="1" applyBorder="1" applyAlignment="1">
      <alignment vertical="center" shrinkToFit="1"/>
    </xf>
    <xf numFmtId="3" fontId="54" fillId="2" borderId="59" xfId="0" applyNumberFormat="1" applyFont="1" applyFill="1" applyBorder="1" applyAlignment="1">
      <alignment vertical="center"/>
    </xf>
    <xf numFmtId="0" fontId="54" fillId="2" borderId="20" xfId="0" applyFont="1" applyFill="1" applyBorder="1" applyAlignment="1">
      <alignment horizontal="center" vertical="center"/>
    </xf>
    <xf numFmtId="0" fontId="54" fillId="2" borderId="16" xfId="0" applyFont="1" applyFill="1" applyBorder="1" applyAlignment="1">
      <alignment horizontal="center" vertical="center"/>
    </xf>
    <xf numFmtId="49" fontId="54" fillId="2" borderId="16" xfId="0" applyNumberFormat="1" applyFont="1" applyFill="1" applyBorder="1" applyAlignment="1">
      <alignment horizontal="center" vertical="center" shrinkToFit="1"/>
    </xf>
    <xf numFmtId="49" fontId="54" fillId="2" borderId="21" xfId="0" applyNumberFormat="1" applyFont="1" applyFill="1" applyBorder="1" applyAlignment="1">
      <alignment horizontal="center" vertical="center" shrinkToFit="1"/>
    </xf>
    <xf numFmtId="166" fontId="56" fillId="2" borderId="0" xfId="0" applyNumberFormat="1" applyFont="1" applyFill="1" applyAlignment="1">
      <alignment vertical="center" shrinkToFit="1"/>
    </xf>
    <xf numFmtId="166" fontId="56" fillId="2" borderId="1" xfId="0" applyNumberFormat="1" applyFont="1" applyFill="1" applyBorder="1" applyAlignment="1">
      <alignment vertical="center" shrinkToFit="1"/>
    </xf>
    <xf numFmtId="0" fontId="60" fillId="2" borderId="17" xfId="0" applyFont="1" applyFill="1" applyBorder="1" applyAlignment="1">
      <alignment vertical="center"/>
    </xf>
    <xf numFmtId="0" fontId="60" fillId="2" borderId="14" xfId="0" applyFont="1" applyFill="1" applyBorder="1" applyAlignment="1">
      <alignment vertical="center" shrinkToFit="1"/>
    </xf>
    <xf numFmtId="0" fontId="106" fillId="2" borderId="14" xfId="0" applyFont="1" applyFill="1" applyBorder="1" applyAlignment="1">
      <alignment vertical="center" shrinkToFit="1"/>
    </xf>
    <xf numFmtId="0" fontId="106" fillId="2" borderId="19" xfId="0" applyFont="1" applyFill="1" applyBorder="1" applyAlignment="1">
      <alignment vertical="center"/>
    </xf>
    <xf numFmtId="4" fontId="0" fillId="0" borderId="0" xfId="0" applyNumberFormat="1" applyProtection="1">
      <protection locked="0"/>
    </xf>
    <xf numFmtId="0" fontId="106" fillId="2" borderId="16" xfId="0" applyFont="1" applyFill="1" applyBorder="1" applyAlignment="1">
      <alignment vertical="center"/>
    </xf>
    <xf numFmtId="0" fontId="106" fillId="2" borderId="16" xfId="0" applyFont="1" applyFill="1" applyBorder="1" applyAlignment="1">
      <alignment vertical="center" shrinkToFit="1"/>
    </xf>
    <xf numFmtId="0" fontId="53" fillId="2" borderId="0" xfId="0" applyFont="1" applyFill="1" applyAlignment="1">
      <alignment horizontal="right" vertical="center"/>
    </xf>
    <xf numFmtId="4" fontId="56" fillId="2" borderId="0" xfId="0" applyNumberFormat="1" applyFont="1" applyFill="1" applyAlignment="1">
      <alignment vertical="center" shrinkToFit="1"/>
    </xf>
    <xf numFmtId="4" fontId="56" fillId="2" borderId="0" xfId="0" applyNumberFormat="1" applyFont="1" applyFill="1" applyAlignment="1">
      <alignment vertical="center"/>
    </xf>
    <xf numFmtId="4" fontId="53" fillId="2" borderId="0" xfId="0" applyNumberFormat="1" applyFont="1" applyFill="1" applyAlignment="1">
      <alignment vertical="center" shrinkToFit="1"/>
    </xf>
    <xf numFmtId="4" fontId="53" fillId="2" borderId="0" xfId="0" applyNumberFormat="1" applyFont="1" applyFill="1" applyAlignment="1">
      <alignment vertical="center"/>
    </xf>
    <xf numFmtId="0" fontId="108" fillId="2" borderId="0" xfId="0" applyFont="1" applyFill="1" applyAlignment="1">
      <alignment vertical="center" shrinkToFit="1"/>
    </xf>
    <xf numFmtId="0" fontId="108" fillId="2" borderId="0" xfId="0" applyFont="1" applyFill="1" applyAlignment="1">
      <alignment vertical="center"/>
    </xf>
    <xf numFmtId="0" fontId="55" fillId="2" borderId="0" xfId="0" applyFont="1" applyFill="1" applyAlignment="1">
      <alignment horizontal="right" vertical="center"/>
    </xf>
    <xf numFmtId="10" fontId="56" fillId="2" borderId="0" xfId="0" applyNumberFormat="1" applyFont="1" applyFill="1" applyAlignment="1">
      <alignment vertical="center" shrinkToFit="1"/>
    </xf>
    <xf numFmtId="165" fontId="56" fillId="2" borderId="0" xfId="0" applyNumberFormat="1" applyFont="1" applyFill="1" applyAlignment="1">
      <alignment vertical="center" shrinkToFit="1"/>
    </xf>
    <xf numFmtId="165" fontId="56" fillId="2" borderId="0" xfId="0" applyNumberFormat="1" applyFont="1" applyFill="1" applyAlignment="1">
      <alignment vertical="center"/>
    </xf>
    <xf numFmtId="3" fontId="53" fillId="2" borderId="0" xfId="0" applyNumberFormat="1" applyFont="1" applyFill="1" applyAlignment="1">
      <alignment vertical="center" shrinkToFit="1"/>
    </xf>
    <xf numFmtId="3" fontId="53" fillId="2" borderId="0" xfId="0" applyNumberFormat="1" applyFont="1" applyFill="1" applyAlignment="1">
      <alignment vertical="center"/>
    </xf>
    <xf numFmtId="0" fontId="106" fillId="2" borderId="14" xfId="0" applyFont="1" applyFill="1" applyBorder="1" applyAlignment="1">
      <alignment vertical="center"/>
    </xf>
    <xf numFmtId="0" fontId="21" fillId="5" borderId="88" xfId="0" applyFont="1" applyFill="1" applyBorder="1"/>
    <xf numFmtId="0" fontId="21" fillId="0" borderId="90" xfId="0" applyFont="1" applyBorder="1"/>
    <xf numFmtId="0" fontId="58" fillId="6" borderId="91" xfId="0" applyFont="1" applyFill="1" applyBorder="1"/>
    <xf numFmtId="0" fontId="58" fillId="8" borderId="104" xfId="0" applyFont="1" applyFill="1" applyBorder="1" applyAlignment="1">
      <alignment vertical="center"/>
    </xf>
    <xf numFmtId="0" fontId="21" fillId="6" borderId="0" xfId="0" applyFont="1" applyFill="1" applyAlignment="1">
      <alignment vertical="center"/>
    </xf>
    <xf numFmtId="2" fontId="21" fillId="6" borderId="91" xfId="0" applyNumberFormat="1" applyFont="1" applyFill="1" applyBorder="1"/>
    <xf numFmtId="2" fontId="21" fillId="6" borderId="88" xfId="0" applyNumberFormat="1" applyFont="1" applyFill="1" applyBorder="1"/>
    <xf numFmtId="0" fontId="58" fillId="8" borderId="109" xfId="0" applyFont="1" applyFill="1" applyBorder="1" applyAlignment="1">
      <alignment vertical="center"/>
    </xf>
    <xf numFmtId="0" fontId="28" fillId="6" borderId="0" xfId="0" applyFont="1" applyFill="1" applyAlignment="1">
      <alignment vertical="top"/>
    </xf>
    <xf numFmtId="0" fontId="21" fillId="6" borderId="88" xfId="0" applyFont="1" applyFill="1" applyBorder="1" applyAlignment="1">
      <alignment vertical="top"/>
    </xf>
    <xf numFmtId="0" fontId="64" fillId="6" borderId="95" xfId="0" applyFont="1" applyFill="1" applyBorder="1" applyAlignment="1">
      <alignment vertical="center"/>
    </xf>
    <xf numFmtId="0" fontId="84" fillId="6" borderId="95" xfId="0" applyFont="1" applyFill="1" applyBorder="1" applyAlignment="1">
      <alignment vertical="center"/>
    </xf>
    <xf numFmtId="0" fontId="84" fillId="6" borderId="110" xfId="0" applyFont="1" applyFill="1" applyBorder="1" applyAlignment="1">
      <alignment vertical="center"/>
    </xf>
    <xf numFmtId="0" fontId="64" fillId="6" borderId="110" xfId="0" applyFont="1" applyFill="1" applyBorder="1" applyAlignment="1">
      <alignment vertical="center"/>
    </xf>
    <xf numFmtId="0" fontId="0" fillId="6" borderId="110" xfId="0" applyFill="1" applyBorder="1"/>
    <xf numFmtId="0" fontId="0" fillId="6" borderId="95" xfId="0" applyFill="1" applyBorder="1"/>
    <xf numFmtId="0" fontId="74" fillId="6" borderId="95" xfId="0" applyFont="1" applyFill="1" applyBorder="1" applyAlignment="1">
      <alignment vertical="center"/>
    </xf>
    <xf numFmtId="0" fontId="84" fillId="6" borderId="0" xfId="0" applyFont="1" applyFill="1" applyAlignment="1">
      <alignment vertical="center"/>
    </xf>
    <xf numFmtId="0" fontId="84" fillId="6" borderId="95" xfId="0" applyFont="1" applyFill="1" applyBorder="1"/>
    <xf numFmtId="0" fontId="64" fillId="6" borderId="95" xfId="0" applyFont="1" applyFill="1" applyBorder="1"/>
    <xf numFmtId="0" fontId="4" fillId="5" borderId="0" xfId="0" applyFont="1" applyFill="1" applyAlignment="1">
      <alignment horizontal="center"/>
    </xf>
    <xf numFmtId="0" fontId="115" fillId="6" borderId="0" xfId="0" applyFont="1" applyFill="1" applyAlignment="1">
      <alignment horizontal="center"/>
    </xf>
    <xf numFmtId="0" fontId="116" fillId="6" borderId="0" xfId="0" applyFont="1" applyFill="1" applyAlignment="1">
      <alignment horizontal="left" vertical="center" readingOrder="1"/>
    </xf>
    <xf numFmtId="0" fontId="64" fillId="6" borderId="0" xfId="0" applyFont="1" applyFill="1"/>
    <xf numFmtId="0" fontId="72" fillId="6" borderId="0" xfId="0" applyFont="1" applyFill="1" applyAlignment="1">
      <alignment vertical="center" readingOrder="1"/>
    </xf>
    <xf numFmtId="49" fontId="89" fillId="15" borderId="127" xfId="0" applyNumberFormat="1" applyFont="1" applyFill="1" applyBorder="1" applyAlignment="1">
      <alignment vertical="center"/>
    </xf>
    <xf numFmtId="49" fontId="89" fillId="15" borderId="123" xfId="0" applyNumberFormat="1" applyFont="1" applyFill="1" applyBorder="1" applyAlignment="1">
      <alignment vertical="center"/>
    </xf>
    <xf numFmtId="49" fontId="89" fillId="15" borderId="124" xfId="0" applyNumberFormat="1" applyFont="1" applyFill="1" applyBorder="1" applyAlignment="1">
      <alignment vertical="center"/>
    </xf>
    <xf numFmtId="1" fontId="55" fillId="12" borderId="133" xfId="0" applyNumberFormat="1" applyFont="1" applyFill="1" applyBorder="1" applyAlignment="1">
      <alignment horizontal="center"/>
    </xf>
    <xf numFmtId="1" fontId="55" fillId="12" borderId="134" xfId="0" applyNumberFormat="1" applyFont="1" applyFill="1" applyBorder="1" applyAlignment="1">
      <alignment horizontal="center"/>
    </xf>
    <xf numFmtId="1" fontId="55" fillId="12" borderId="135" xfId="0" applyNumberFormat="1" applyFont="1" applyFill="1" applyBorder="1" applyAlignment="1">
      <alignment horizontal="center"/>
    </xf>
    <xf numFmtId="0" fontId="76" fillId="8" borderId="17" xfId="0" applyFont="1" applyFill="1" applyBorder="1"/>
    <xf numFmtId="0" fontId="58" fillId="8" borderId="14" xfId="0" applyFont="1" applyFill="1" applyBorder="1"/>
    <xf numFmtId="0" fontId="58" fillId="8" borderId="14" xfId="0" applyFont="1" applyFill="1" applyBorder="1" applyProtection="1">
      <protection locked="0"/>
    </xf>
    <xf numFmtId="0" fontId="76" fillId="8" borderId="24" xfId="0" applyFont="1" applyFill="1" applyBorder="1"/>
    <xf numFmtId="0" fontId="58" fillId="8" borderId="48" xfId="0" applyFont="1" applyFill="1" applyBorder="1"/>
    <xf numFmtId="0" fontId="58" fillId="8" borderId="46" xfId="0" applyFont="1" applyFill="1" applyBorder="1" applyProtection="1">
      <protection locked="0"/>
    </xf>
    <xf numFmtId="0" fontId="58" fillId="8" borderId="47" xfId="0" applyFont="1" applyFill="1" applyBorder="1" applyProtection="1">
      <protection locked="0"/>
    </xf>
    <xf numFmtId="0" fontId="58" fillId="5" borderId="0" xfId="0" applyFont="1" applyFill="1" applyProtection="1">
      <protection locked="0"/>
    </xf>
    <xf numFmtId="0" fontId="58" fillId="5" borderId="1" xfId="0" applyFont="1" applyFill="1" applyBorder="1" applyProtection="1">
      <protection locked="0"/>
    </xf>
    <xf numFmtId="0" fontId="55" fillId="10" borderId="140" xfId="0" applyFont="1" applyFill="1" applyBorder="1" applyAlignment="1">
      <alignment horizontal="center"/>
    </xf>
    <xf numFmtId="0" fontId="55" fillId="10" borderId="141" xfId="0" applyFont="1" applyFill="1" applyBorder="1" applyAlignment="1">
      <alignment horizontal="center"/>
    </xf>
    <xf numFmtId="0" fontId="58" fillId="19" borderId="71" xfId="0" applyFont="1" applyFill="1" applyBorder="1"/>
    <xf numFmtId="0" fontId="58" fillId="19" borderId="53" xfId="0" applyFont="1" applyFill="1" applyBorder="1"/>
    <xf numFmtId="0" fontId="58" fillId="19" borderId="48" xfId="0" applyFont="1" applyFill="1" applyBorder="1"/>
    <xf numFmtId="0" fontId="58" fillId="19" borderId="30" xfId="0" applyFont="1" applyFill="1" applyBorder="1"/>
    <xf numFmtId="0" fontId="55" fillId="20" borderId="62" xfId="0" applyFont="1" applyFill="1" applyBorder="1" applyAlignment="1">
      <alignment horizontal="center"/>
    </xf>
    <xf numFmtId="0" fontId="121" fillId="6" borderId="15" xfId="0" applyFont="1" applyFill="1" applyBorder="1" applyAlignment="1">
      <alignment vertical="center"/>
    </xf>
    <xf numFmtId="0" fontId="49" fillId="9" borderId="148" xfId="0" applyFont="1" applyFill="1" applyBorder="1" applyAlignment="1">
      <alignment horizontal="center" vertical="center"/>
    </xf>
    <xf numFmtId="3" fontId="53" fillId="23" borderId="121" xfId="0" applyNumberFormat="1" applyFont="1" applyFill="1" applyBorder="1" applyAlignment="1">
      <alignment horizontal="right" shrinkToFit="1"/>
    </xf>
    <xf numFmtId="0" fontId="49" fillId="9" borderId="162" xfId="0" applyFont="1" applyFill="1" applyBorder="1" applyAlignment="1">
      <alignment horizontal="center" vertical="center"/>
    </xf>
    <xf numFmtId="10" fontId="53" fillId="8" borderId="15" xfId="0" applyNumberFormat="1" applyFont="1" applyFill="1" applyBorder="1" applyAlignment="1">
      <alignment horizontal="right" shrinkToFit="1"/>
    </xf>
    <xf numFmtId="10" fontId="53" fillId="8" borderId="1" xfId="0" applyNumberFormat="1" applyFont="1" applyFill="1" applyBorder="1" applyAlignment="1">
      <alignment horizontal="left" shrinkToFit="1"/>
    </xf>
    <xf numFmtId="3" fontId="53" fillId="8" borderId="1" xfId="0" applyNumberFormat="1" applyFont="1" applyFill="1" applyBorder="1" applyAlignment="1">
      <alignment horizontal="left" shrinkToFit="1"/>
    </xf>
    <xf numFmtId="0" fontId="56" fillId="19" borderId="15" xfId="0" applyFont="1" applyFill="1" applyBorder="1" applyAlignment="1">
      <alignment horizontal="center"/>
    </xf>
    <xf numFmtId="0" fontId="110" fillId="19" borderId="0" xfId="0" applyFont="1" applyFill="1" applyAlignment="1">
      <alignment horizontal="left"/>
    </xf>
    <xf numFmtId="0" fontId="56" fillId="19" borderId="0" xfId="0" applyFont="1" applyFill="1" applyAlignment="1">
      <alignment horizontal="center"/>
    </xf>
    <xf numFmtId="0" fontId="23" fillId="19" borderId="1" xfId="0" applyFont="1" applyFill="1" applyBorder="1" applyAlignment="1">
      <alignment horizontal="center"/>
    </xf>
    <xf numFmtId="1" fontId="54" fillId="19" borderId="15" xfId="0" applyNumberFormat="1" applyFont="1" applyFill="1" applyBorder="1" applyAlignment="1">
      <alignment horizontal="center"/>
    </xf>
    <xf numFmtId="1" fontId="54" fillId="19" borderId="0" xfId="0" applyNumberFormat="1" applyFont="1" applyFill="1" applyAlignment="1">
      <alignment horizontal="center"/>
    </xf>
    <xf numFmtId="1" fontId="53" fillId="19" borderId="0" xfId="0" applyNumberFormat="1" applyFont="1" applyFill="1" applyAlignment="1">
      <alignment horizontal="left"/>
    </xf>
    <xf numFmtId="0" fontId="103" fillId="19" borderId="15" xfId="0" applyFont="1" applyFill="1" applyBorder="1"/>
    <xf numFmtId="0" fontId="103" fillId="19" borderId="0" xfId="0" applyFont="1" applyFill="1"/>
    <xf numFmtId="0" fontId="21" fillId="19" borderId="17" xfId="0" applyFont="1" applyFill="1" applyBorder="1" applyAlignment="1">
      <alignment horizontal="center" vertical="top"/>
    </xf>
    <xf numFmtId="0" fontId="21" fillId="19" borderId="14" xfId="0" applyFont="1" applyFill="1" applyBorder="1" applyAlignment="1">
      <alignment horizontal="center" vertical="top"/>
    </xf>
    <xf numFmtId="0" fontId="26" fillId="19" borderId="19" xfId="0" applyFont="1" applyFill="1" applyBorder="1"/>
    <xf numFmtId="0" fontId="100" fillId="9" borderId="100" xfId="0" applyFont="1" applyFill="1" applyBorder="1" applyAlignment="1">
      <alignment horizontal="center"/>
    </xf>
    <xf numFmtId="0" fontId="29" fillId="6" borderId="164" xfId="0" applyFont="1" applyFill="1" applyBorder="1"/>
    <xf numFmtId="0" fontId="29" fillId="6" borderId="163" xfId="0" applyFont="1" applyFill="1" applyBorder="1"/>
    <xf numFmtId="0" fontId="118" fillId="6" borderId="0" xfId="0" applyFont="1" applyFill="1" applyAlignment="1">
      <alignment horizontal="left"/>
    </xf>
    <xf numFmtId="49" fontId="87" fillId="15" borderId="122" xfId="0" applyNumberFormat="1" applyFont="1" applyFill="1" applyBorder="1" applyAlignment="1">
      <alignment vertical="center" shrinkToFit="1"/>
    </xf>
    <xf numFmtId="49" fontId="87" fillId="15" borderId="123" xfId="0" applyNumberFormat="1" applyFont="1" applyFill="1" applyBorder="1" applyAlignment="1">
      <alignment vertical="center" shrinkToFit="1"/>
    </xf>
    <xf numFmtId="49" fontId="123" fillId="15" borderId="123" xfId="0" applyNumberFormat="1" applyFont="1" applyFill="1" applyBorder="1" applyAlignment="1">
      <alignment vertical="center" shrinkToFit="1"/>
    </xf>
    <xf numFmtId="49" fontId="124" fillId="15" borderId="123" xfId="0" applyNumberFormat="1" applyFont="1" applyFill="1" applyBorder="1" applyAlignment="1">
      <alignment vertical="center"/>
    </xf>
    <xf numFmtId="0" fontId="47" fillId="5" borderId="0" xfId="0" applyFont="1" applyFill="1" applyAlignment="1">
      <alignment vertical="center"/>
    </xf>
    <xf numFmtId="0" fontId="47" fillId="5" borderId="88" xfId="0" applyFont="1" applyFill="1" applyBorder="1" applyAlignment="1">
      <alignment vertical="center"/>
    </xf>
    <xf numFmtId="0" fontId="125" fillId="2" borderId="0" xfId="0" applyFont="1" applyFill="1" applyAlignment="1">
      <alignment horizontal="left"/>
    </xf>
    <xf numFmtId="0" fontId="126" fillId="6" borderId="0" xfId="0" applyFont="1" applyFill="1" applyAlignment="1">
      <alignment horizontal="center" vertical="top" readingOrder="1"/>
    </xf>
    <xf numFmtId="0" fontId="21" fillId="6" borderId="2" xfId="0" applyFont="1" applyFill="1" applyBorder="1"/>
    <xf numFmtId="3" fontId="21" fillId="6" borderId="0" xfId="0" applyNumberFormat="1" applyFont="1" applyFill="1"/>
    <xf numFmtId="0" fontId="21" fillId="6" borderId="5" xfId="0" applyFont="1" applyFill="1" applyBorder="1"/>
    <xf numFmtId="0" fontId="32" fillId="6" borderId="2" xfId="0" applyFont="1" applyFill="1" applyBorder="1"/>
    <xf numFmtId="0" fontId="21" fillId="6" borderId="0" xfId="0" applyFont="1" applyFill="1" applyAlignment="1">
      <alignment horizontal="center"/>
    </xf>
    <xf numFmtId="0" fontId="21" fillId="6" borderId="2" xfId="0" applyFont="1" applyFill="1" applyBorder="1" applyAlignment="1">
      <alignment horizontal="right"/>
    </xf>
    <xf numFmtId="0" fontId="21" fillId="6" borderId="2" xfId="0" applyFont="1" applyFill="1" applyBorder="1" applyAlignment="1">
      <alignment horizontal="left"/>
    </xf>
    <xf numFmtId="0" fontId="21" fillId="6" borderId="0" xfId="0" applyFont="1" applyFill="1" applyAlignment="1">
      <alignment horizontal="right"/>
    </xf>
    <xf numFmtId="10" fontId="21" fillId="6" borderId="0" xfId="0" applyNumberFormat="1" applyFont="1" applyFill="1"/>
    <xf numFmtId="9" fontId="21" fillId="6" borderId="0" xfId="0" applyNumberFormat="1" applyFont="1" applyFill="1"/>
    <xf numFmtId="165" fontId="21" fillId="6" borderId="0" xfId="0" applyNumberFormat="1" applyFont="1" applyFill="1"/>
    <xf numFmtId="4" fontId="21" fillId="6" borderId="0" xfId="0" applyNumberFormat="1" applyFont="1" applyFill="1"/>
    <xf numFmtId="0" fontId="21" fillId="6" borderId="9" xfId="0" applyFont="1" applyFill="1" applyBorder="1" applyAlignment="1">
      <alignment horizontal="right"/>
    </xf>
    <xf numFmtId="0" fontId="21" fillId="6" borderId="6" xfId="0" applyFont="1" applyFill="1" applyBorder="1"/>
    <xf numFmtId="0" fontId="21" fillId="6" borderId="7" xfId="0" applyFont="1" applyFill="1" applyBorder="1"/>
    <xf numFmtId="166" fontId="56" fillId="19" borderId="19" xfId="0" applyNumberFormat="1" applyFont="1" applyFill="1" applyBorder="1" applyAlignment="1">
      <alignment horizontal="right" shrinkToFit="1"/>
    </xf>
    <xf numFmtId="166" fontId="56" fillId="19" borderId="22" xfId="0" applyNumberFormat="1" applyFont="1" applyFill="1" applyBorder="1" applyAlignment="1">
      <alignment horizontal="right" shrinkToFit="1"/>
    </xf>
    <xf numFmtId="166" fontId="56" fillId="19" borderId="38" xfId="0" applyNumberFormat="1" applyFont="1" applyFill="1" applyBorder="1" applyAlignment="1">
      <alignment horizontal="right" shrinkToFit="1"/>
    </xf>
    <xf numFmtId="166" fontId="56" fillId="19" borderId="30" xfId="0" applyNumberFormat="1" applyFont="1" applyFill="1" applyBorder="1" applyAlignment="1">
      <alignment horizontal="right" shrinkToFit="1"/>
    </xf>
    <xf numFmtId="166" fontId="56" fillId="19" borderId="23" xfId="0" applyNumberFormat="1" applyFont="1" applyFill="1" applyBorder="1" applyAlignment="1">
      <alignment horizontal="right" shrinkToFit="1"/>
    </xf>
    <xf numFmtId="166" fontId="56" fillId="19" borderId="31" xfId="0" applyNumberFormat="1" applyFont="1" applyFill="1" applyBorder="1" applyAlignment="1">
      <alignment horizontal="right" shrinkToFit="1"/>
    </xf>
    <xf numFmtId="166" fontId="56" fillId="19" borderId="56" xfId="0" applyNumberFormat="1" applyFont="1" applyFill="1" applyBorder="1" applyAlignment="1">
      <alignment horizontal="right" shrinkToFit="1"/>
    </xf>
    <xf numFmtId="166" fontId="56" fillId="19" borderId="51" xfId="0" applyNumberFormat="1" applyFont="1" applyFill="1" applyBorder="1" applyAlignment="1">
      <alignment horizontal="right" shrinkToFit="1"/>
    </xf>
    <xf numFmtId="166" fontId="56" fillId="19" borderId="52" xfId="0" applyNumberFormat="1" applyFont="1" applyFill="1" applyBorder="1" applyAlignment="1">
      <alignment horizontal="right" shrinkToFit="1"/>
    </xf>
    <xf numFmtId="3" fontId="53" fillId="19" borderId="34" xfId="0" applyNumberFormat="1" applyFont="1" applyFill="1" applyBorder="1" applyAlignment="1">
      <alignment horizontal="right" shrinkToFit="1"/>
    </xf>
    <xf numFmtId="3" fontId="53" fillId="19" borderId="35" xfId="0" applyNumberFormat="1" applyFont="1" applyFill="1" applyBorder="1" applyAlignment="1">
      <alignment horizontal="right" shrinkToFit="1"/>
    </xf>
    <xf numFmtId="3" fontId="53" fillId="19" borderId="36" xfId="0" applyNumberFormat="1" applyFont="1" applyFill="1" applyBorder="1" applyAlignment="1">
      <alignment horizontal="right" shrinkToFit="1"/>
    </xf>
    <xf numFmtId="165" fontId="56" fillId="19" borderId="49" xfId="0" applyNumberFormat="1" applyFont="1" applyFill="1" applyBorder="1" applyAlignment="1">
      <alignment horizontal="right" shrinkToFit="1"/>
    </xf>
    <xf numFmtId="165" fontId="56" fillId="19" borderId="23" xfId="0" applyNumberFormat="1" applyFont="1" applyFill="1" applyBorder="1" applyAlignment="1">
      <alignment horizontal="right" shrinkToFit="1"/>
    </xf>
    <xf numFmtId="165" fontId="56" fillId="19" borderId="31" xfId="0" applyNumberFormat="1" applyFont="1" applyFill="1" applyBorder="1" applyAlignment="1">
      <alignment horizontal="right" shrinkToFit="1"/>
    </xf>
    <xf numFmtId="165" fontId="56" fillId="19" borderId="50" xfId="0" applyNumberFormat="1" applyFont="1" applyFill="1" applyBorder="1" applyAlignment="1">
      <alignment horizontal="right" shrinkToFit="1"/>
    </xf>
    <xf numFmtId="165" fontId="56" fillId="19" borderId="51" xfId="0" applyNumberFormat="1" applyFont="1" applyFill="1" applyBorder="1" applyAlignment="1">
      <alignment horizontal="right" shrinkToFit="1"/>
    </xf>
    <xf numFmtId="165" fontId="56" fillId="19" borderId="52" xfId="0" applyNumberFormat="1" applyFont="1" applyFill="1" applyBorder="1" applyAlignment="1">
      <alignment horizontal="right" shrinkToFit="1"/>
    </xf>
    <xf numFmtId="4" fontId="56" fillId="19" borderId="34" xfId="0" applyNumberFormat="1" applyFont="1" applyFill="1" applyBorder="1" applyAlignment="1">
      <alignment horizontal="right" shrinkToFit="1"/>
    </xf>
    <xf numFmtId="4" fontId="56" fillId="19" borderId="35" xfId="0" applyNumberFormat="1" applyFont="1" applyFill="1" applyBorder="1" applyAlignment="1">
      <alignment horizontal="right" shrinkToFit="1"/>
    </xf>
    <xf numFmtId="4" fontId="56" fillId="19" borderId="36" xfId="0" applyNumberFormat="1" applyFont="1" applyFill="1" applyBorder="1" applyAlignment="1">
      <alignment horizontal="right" shrinkToFit="1"/>
    </xf>
    <xf numFmtId="4" fontId="56" fillId="19" borderId="49" xfId="0" applyNumberFormat="1" applyFont="1" applyFill="1" applyBorder="1" applyAlignment="1">
      <alignment horizontal="right" shrinkToFit="1"/>
    </xf>
    <xf numFmtId="4" fontId="56" fillId="19" borderId="23" xfId="0" applyNumberFormat="1" applyFont="1" applyFill="1" applyBorder="1" applyAlignment="1">
      <alignment horizontal="right" shrinkToFit="1"/>
    </xf>
    <xf numFmtId="4" fontId="56" fillId="19" borderId="31" xfId="0" applyNumberFormat="1" applyFont="1" applyFill="1" applyBorder="1" applyAlignment="1">
      <alignment horizontal="right" shrinkToFit="1"/>
    </xf>
    <xf numFmtId="4" fontId="56" fillId="19" borderId="50" xfId="0" applyNumberFormat="1" applyFont="1" applyFill="1" applyBorder="1" applyAlignment="1">
      <alignment horizontal="right" shrinkToFit="1"/>
    </xf>
    <xf numFmtId="4" fontId="56" fillId="19" borderId="51" xfId="0" applyNumberFormat="1" applyFont="1" applyFill="1" applyBorder="1" applyAlignment="1">
      <alignment horizontal="right" shrinkToFit="1"/>
    </xf>
    <xf numFmtId="4" fontId="56" fillId="19" borderId="52" xfId="0" applyNumberFormat="1" applyFont="1" applyFill="1" applyBorder="1" applyAlignment="1">
      <alignment horizontal="right" shrinkToFit="1"/>
    </xf>
    <xf numFmtId="4" fontId="56" fillId="19" borderId="53" xfId="0" applyNumberFormat="1" applyFont="1" applyFill="1" applyBorder="1" applyAlignment="1">
      <alignment horizontal="right" shrinkToFit="1"/>
    </xf>
    <xf numFmtId="4" fontId="56" fillId="19" borderId="54" xfId="0" applyNumberFormat="1" applyFont="1" applyFill="1" applyBorder="1" applyAlignment="1">
      <alignment horizontal="right" shrinkToFit="1"/>
    </xf>
    <xf numFmtId="4" fontId="56" fillId="19" borderId="55" xfId="0" applyNumberFormat="1" applyFont="1" applyFill="1" applyBorder="1" applyAlignment="1">
      <alignment horizontal="right" shrinkToFit="1"/>
    </xf>
    <xf numFmtId="4" fontId="56" fillId="19" borderId="30" xfId="0" applyNumberFormat="1" applyFont="1" applyFill="1" applyBorder="1" applyAlignment="1">
      <alignment horizontal="right" shrinkToFit="1"/>
    </xf>
    <xf numFmtId="165" fontId="56" fillId="19" borderId="30" xfId="0" applyNumberFormat="1" applyFont="1" applyFill="1" applyBorder="1" applyAlignment="1">
      <alignment horizontal="right" shrinkToFit="1"/>
    </xf>
    <xf numFmtId="165" fontId="56" fillId="19" borderId="56" xfId="0" applyNumberFormat="1" applyFont="1" applyFill="1" applyBorder="1" applyAlignment="1">
      <alignment horizontal="right" shrinkToFit="1"/>
    </xf>
    <xf numFmtId="0" fontId="21" fillId="8" borderId="111" xfId="0" applyFont="1" applyFill="1" applyBorder="1"/>
    <xf numFmtId="0" fontId="32" fillId="8" borderId="111" xfId="0" applyFont="1" applyFill="1" applyBorder="1"/>
    <xf numFmtId="0" fontId="26" fillId="8" borderId="111" xfId="0" applyFont="1" applyFill="1" applyBorder="1"/>
    <xf numFmtId="0" fontId="21" fillId="8" borderId="91" xfId="0" applyFont="1" applyFill="1" applyBorder="1"/>
    <xf numFmtId="0" fontId="21" fillId="8" borderId="90" xfId="0" applyFont="1" applyFill="1" applyBorder="1"/>
    <xf numFmtId="0" fontId="0" fillId="8" borderId="87" xfId="0" applyFill="1" applyBorder="1"/>
    <xf numFmtId="0" fontId="7" fillId="8" borderId="87" xfId="0" applyFont="1" applyFill="1" applyBorder="1"/>
    <xf numFmtId="0" fontId="5" fillId="8" borderId="87" xfId="0" applyFont="1" applyFill="1" applyBorder="1"/>
    <xf numFmtId="0" fontId="9" fillId="8" borderId="87" xfId="0" applyFont="1" applyFill="1" applyBorder="1"/>
    <xf numFmtId="0" fontId="0" fillId="8" borderId="89" xfId="0" applyFill="1" applyBorder="1"/>
    <xf numFmtId="0" fontId="21" fillId="8" borderId="167" xfId="0" applyFont="1" applyFill="1" applyBorder="1"/>
    <xf numFmtId="0" fontId="0" fillId="15" borderId="122" xfId="0" applyFill="1" applyBorder="1"/>
    <xf numFmtId="0" fontId="21" fillId="8" borderId="88" xfId="0" applyFont="1" applyFill="1" applyBorder="1"/>
    <xf numFmtId="0" fontId="32" fillId="8" borderId="88" xfId="0" applyFont="1" applyFill="1" applyBorder="1"/>
    <xf numFmtId="0" fontId="26" fillId="8" borderId="88" xfId="0" applyFont="1" applyFill="1" applyBorder="1"/>
    <xf numFmtId="0" fontId="129" fillId="0" borderId="0" xfId="0" applyFont="1" applyAlignment="1">
      <alignment vertical="center"/>
    </xf>
    <xf numFmtId="0" fontId="31" fillId="0" borderId="0" xfId="0" applyFont="1" applyProtection="1">
      <protection locked="0"/>
    </xf>
    <xf numFmtId="0" fontId="114" fillId="0" borderId="0" xfId="0" applyFont="1" applyAlignment="1">
      <alignment vertical="top"/>
    </xf>
    <xf numFmtId="0" fontId="131" fillId="5" borderId="91" xfId="0" applyFont="1" applyFill="1" applyBorder="1"/>
    <xf numFmtId="0" fontId="132" fillId="5" borderId="92" xfId="0" applyFont="1" applyFill="1" applyBorder="1" applyAlignment="1">
      <alignment horizontal="center" vertical="top"/>
    </xf>
    <xf numFmtId="0" fontId="58" fillId="5" borderId="94" xfId="0" applyFont="1" applyFill="1" applyBorder="1"/>
    <xf numFmtId="0" fontId="133" fillId="5" borderId="87" xfId="0" applyFont="1" applyFill="1" applyBorder="1"/>
    <xf numFmtId="0" fontId="58" fillId="5" borderId="88" xfId="0" applyFont="1" applyFill="1" applyBorder="1"/>
    <xf numFmtId="0" fontId="77" fillId="5" borderId="88" xfId="0" applyFont="1" applyFill="1" applyBorder="1" applyAlignment="1">
      <alignment vertical="center"/>
    </xf>
    <xf numFmtId="0" fontId="77" fillId="5" borderId="88" xfId="0" applyFont="1" applyFill="1" applyBorder="1" applyAlignment="1">
      <alignment horizontal="left" vertical="center"/>
    </xf>
    <xf numFmtId="0" fontId="131" fillId="5" borderId="87" xfId="0" applyFont="1" applyFill="1" applyBorder="1"/>
    <xf numFmtId="0" fontId="0" fillId="5" borderId="89" xfId="0" applyFill="1" applyBorder="1"/>
    <xf numFmtId="0" fontId="0" fillId="5" borderId="90" xfId="0" applyFill="1" applyBorder="1"/>
    <xf numFmtId="0" fontId="134" fillId="5" borderId="91" xfId="0" applyFont="1" applyFill="1" applyBorder="1" applyAlignment="1">
      <alignment horizontal="center"/>
    </xf>
    <xf numFmtId="0" fontId="1" fillId="0" borderId="0" xfId="0" applyFont="1"/>
    <xf numFmtId="0" fontId="135" fillId="5" borderId="90" xfId="0" applyFont="1" applyFill="1" applyBorder="1" applyAlignment="1">
      <alignment horizontal="left" vertical="center"/>
    </xf>
    <xf numFmtId="0" fontId="63" fillId="0" borderId="0" xfId="1" applyFont="1" applyFill="1" applyBorder="1" applyAlignment="1" applyProtection="1">
      <alignment vertical="center"/>
    </xf>
    <xf numFmtId="0" fontId="53" fillId="0" borderId="0" xfId="0" applyFont="1"/>
    <xf numFmtId="0" fontId="34" fillId="6" borderId="0" xfId="0" applyFont="1" applyFill="1"/>
    <xf numFmtId="0" fontId="0" fillId="6" borderId="177" xfId="0" applyFill="1" applyBorder="1"/>
    <xf numFmtId="0" fontId="16" fillId="6" borderId="88" xfId="0" applyFont="1" applyFill="1" applyBorder="1"/>
    <xf numFmtId="0" fontId="16" fillId="6" borderId="178" xfId="0" applyFont="1" applyFill="1" applyBorder="1"/>
    <xf numFmtId="0" fontId="0" fillId="6" borderId="179" xfId="0" applyFill="1" applyBorder="1"/>
    <xf numFmtId="0" fontId="58" fillId="6" borderId="128" xfId="0" applyFont="1" applyFill="1" applyBorder="1"/>
    <xf numFmtId="0" fontId="0" fillId="6" borderId="128" xfId="0" applyFill="1" applyBorder="1"/>
    <xf numFmtId="0" fontId="72" fillId="6" borderId="87" xfId="0" applyFont="1" applyFill="1" applyBorder="1" applyAlignment="1">
      <alignment vertical="center" readingOrder="1"/>
    </xf>
    <xf numFmtId="0" fontId="67" fillId="6" borderId="87" xfId="0" applyFont="1" applyFill="1" applyBorder="1"/>
    <xf numFmtId="0" fontId="67" fillId="6" borderId="87" xfId="0" applyFont="1" applyFill="1" applyBorder="1" applyAlignment="1">
      <alignment horizontal="left" vertical="center" readingOrder="1"/>
    </xf>
    <xf numFmtId="0" fontId="34" fillId="6" borderId="180" xfId="0" applyFont="1" applyFill="1" applyBorder="1" applyAlignment="1">
      <alignment horizontal="center"/>
    </xf>
    <xf numFmtId="0" fontId="34" fillId="6" borderId="129" xfId="0" applyFont="1" applyFill="1" applyBorder="1" applyAlignment="1">
      <alignment horizontal="center"/>
    </xf>
    <xf numFmtId="0" fontId="16" fillId="6" borderId="177" xfId="0" applyFont="1" applyFill="1" applyBorder="1"/>
    <xf numFmtId="0" fontId="34" fillId="6" borderId="179" xfId="0" applyFont="1" applyFill="1" applyBorder="1" applyAlignment="1">
      <alignment horizontal="center"/>
    </xf>
    <xf numFmtId="0" fontId="34" fillId="6" borderId="128" xfId="0" applyFont="1" applyFill="1" applyBorder="1" applyAlignment="1">
      <alignment horizontal="center"/>
    </xf>
    <xf numFmtId="0" fontId="21" fillId="6" borderId="180" xfId="0" applyFont="1" applyFill="1" applyBorder="1"/>
    <xf numFmtId="0" fontId="21" fillId="6" borderId="129" xfId="0" applyFont="1" applyFill="1" applyBorder="1"/>
    <xf numFmtId="0" fontId="0" fillId="6" borderId="178" xfId="0" applyFill="1" applyBorder="1"/>
    <xf numFmtId="0" fontId="21" fillId="0" borderId="179" xfId="0" applyFont="1" applyBorder="1"/>
    <xf numFmtId="0" fontId="21" fillId="0" borderId="128" xfId="0" applyFont="1" applyBorder="1"/>
    <xf numFmtId="0" fontId="21" fillId="5" borderId="177" xfId="0" applyFont="1" applyFill="1" applyBorder="1"/>
    <xf numFmtId="0" fontId="67" fillId="0" borderId="0" xfId="0" applyFont="1" applyAlignment="1">
      <alignment horizontal="left" vertical="center" readingOrder="1"/>
    </xf>
    <xf numFmtId="0" fontId="47" fillId="0" borderId="87" xfId="0" applyFont="1" applyBorder="1" applyAlignment="1">
      <alignment vertical="center"/>
    </xf>
    <xf numFmtId="0" fontId="21" fillId="6" borderId="179" xfId="0" applyFont="1" applyFill="1" applyBorder="1"/>
    <xf numFmtId="0" fontId="80" fillId="6" borderId="0" xfId="0" applyFont="1" applyFill="1"/>
    <xf numFmtId="0" fontId="81" fillId="6" borderId="0" xfId="0" applyFont="1" applyFill="1"/>
    <xf numFmtId="0" fontId="21" fillId="0" borderId="89" xfId="0" applyFont="1" applyBorder="1"/>
    <xf numFmtId="0" fontId="22" fillId="6" borderId="0" xfId="0" applyFont="1" applyFill="1"/>
    <xf numFmtId="0" fontId="50" fillId="6" borderId="0" xfId="0" applyFont="1" applyFill="1"/>
    <xf numFmtId="0" fontId="136" fillId="4" borderId="0" xfId="0" applyFont="1" applyFill="1"/>
    <xf numFmtId="0" fontId="139" fillId="5" borderId="39" xfId="0" applyFont="1" applyFill="1" applyBorder="1" applyProtection="1">
      <protection locked="0"/>
    </xf>
    <xf numFmtId="0" fontId="139" fillId="5" borderId="42" xfId="0" applyFont="1" applyFill="1" applyBorder="1" applyProtection="1">
      <protection locked="0"/>
    </xf>
    <xf numFmtId="0" fontId="139" fillId="7" borderId="39" xfId="0" applyFont="1" applyFill="1" applyBorder="1" applyProtection="1">
      <protection locked="0"/>
    </xf>
    <xf numFmtId="0" fontId="58" fillId="5" borderId="39" xfId="0" applyFont="1" applyFill="1" applyBorder="1" applyProtection="1">
      <protection locked="0"/>
    </xf>
    <xf numFmtId="0" fontId="58" fillId="5" borderId="42" xfId="0" applyFont="1" applyFill="1" applyBorder="1" applyProtection="1">
      <protection locked="0"/>
    </xf>
    <xf numFmtId="0" fontId="58" fillId="5" borderId="45" xfId="0" applyFont="1" applyFill="1" applyBorder="1" applyProtection="1">
      <protection locked="0"/>
    </xf>
    <xf numFmtId="0" fontId="58" fillId="23" borderId="45" xfId="0" applyFont="1" applyFill="1" applyBorder="1" applyProtection="1">
      <protection locked="0"/>
    </xf>
    <xf numFmtId="0" fontId="58" fillId="23" borderId="46" xfId="0" applyFont="1" applyFill="1" applyBorder="1" applyProtection="1">
      <protection locked="0"/>
    </xf>
    <xf numFmtId="0" fontId="58" fillId="23" borderId="47" xfId="0" applyFont="1" applyFill="1" applyBorder="1" applyProtection="1">
      <protection locked="0"/>
    </xf>
    <xf numFmtId="0" fontId="58" fillId="23" borderId="39" xfId="0" applyFont="1" applyFill="1" applyBorder="1" applyProtection="1">
      <protection locked="0"/>
    </xf>
    <xf numFmtId="0" fontId="58" fillId="23" borderId="40" xfId="0" applyFont="1" applyFill="1" applyBorder="1" applyProtection="1">
      <protection locked="0"/>
    </xf>
    <xf numFmtId="0" fontId="58" fillId="23" borderId="41" xfId="0" applyFont="1" applyFill="1" applyBorder="1" applyProtection="1">
      <protection locked="0"/>
    </xf>
    <xf numFmtId="0" fontId="58" fillId="23" borderId="42" xfId="0" applyFont="1" applyFill="1" applyBorder="1" applyProtection="1">
      <protection locked="0"/>
    </xf>
    <xf numFmtId="0" fontId="58" fillId="23" borderId="43" xfId="0" applyFont="1" applyFill="1" applyBorder="1" applyProtection="1">
      <protection locked="0"/>
    </xf>
    <xf numFmtId="0" fontId="58" fillId="23" borderId="44" xfId="0" applyFont="1" applyFill="1" applyBorder="1" applyProtection="1">
      <protection locked="0"/>
    </xf>
    <xf numFmtId="0" fontId="58" fillId="23" borderId="142" xfId="0" applyFont="1" applyFill="1" applyBorder="1" applyProtection="1">
      <protection locked="0"/>
    </xf>
    <xf numFmtId="0" fontId="58" fillId="23" borderId="143" xfId="0" applyFont="1" applyFill="1" applyBorder="1" applyProtection="1">
      <protection locked="0"/>
    </xf>
    <xf numFmtId="0" fontId="58" fillId="23" borderId="144" xfId="0" applyFont="1" applyFill="1" applyBorder="1" applyProtection="1">
      <protection locked="0"/>
    </xf>
    <xf numFmtId="0" fontId="139" fillId="23" borderId="39" xfId="0" applyFont="1" applyFill="1" applyBorder="1" applyProtection="1">
      <protection locked="0"/>
    </xf>
    <xf numFmtId="0" fontId="139" fillId="23" borderId="42" xfId="0" applyFont="1" applyFill="1" applyBorder="1" applyProtection="1">
      <protection locked="0"/>
    </xf>
    <xf numFmtId="0" fontId="139" fillId="23" borderId="45" xfId="0" applyFont="1" applyFill="1" applyBorder="1" applyProtection="1">
      <protection locked="0"/>
    </xf>
    <xf numFmtId="0" fontId="58" fillId="8" borderId="17" xfId="0" applyFont="1" applyFill="1" applyBorder="1" applyProtection="1">
      <protection locked="0"/>
    </xf>
    <xf numFmtId="0" fontId="58" fillId="7" borderId="42" xfId="0" applyFont="1" applyFill="1" applyBorder="1" applyProtection="1">
      <protection locked="0"/>
    </xf>
    <xf numFmtId="0" fontId="58" fillId="7" borderId="45" xfId="0" applyFont="1" applyFill="1" applyBorder="1" applyProtection="1">
      <protection locked="0"/>
    </xf>
    <xf numFmtId="0" fontId="58" fillId="7" borderId="39" xfId="0" applyFont="1" applyFill="1" applyBorder="1" applyProtection="1">
      <protection locked="0"/>
    </xf>
    <xf numFmtId="0" fontId="139" fillId="7" borderId="45" xfId="0" applyFont="1" applyFill="1" applyBorder="1" applyProtection="1">
      <protection locked="0"/>
    </xf>
    <xf numFmtId="0" fontId="58" fillId="8" borderId="45" xfId="0" applyFont="1" applyFill="1" applyBorder="1" applyProtection="1">
      <protection locked="0"/>
    </xf>
    <xf numFmtId="0" fontId="139" fillId="5" borderId="45" xfId="0" applyFont="1" applyFill="1" applyBorder="1" applyProtection="1">
      <protection locked="0"/>
    </xf>
    <xf numFmtId="0" fontId="58" fillId="5" borderId="15" xfId="0" applyFont="1" applyFill="1" applyBorder="1" applyProtection="1">
      <protection locked="0"/>
    </xf>
    <xf numFmtId="0" fontId="58" fillId="19" borderId="70" xfId="0" applyFont="1" applyFill="1" applyBorder="1"/>
    <xf numFmtId="0" fontId="58" fillId="19" borderId="24" xfId="0" applyFont="1" applyFill="1" applyBorder="1"/>
    <xf numFmtId="0" fontId="140" fillId="2" borderId="23" xfId="0" applyFont="1" applyFill="1" applyBorder="1" applyAlignment="1" applyProtection="1">
      <alignment horizontal="center" vertical="center" shrinkToFit="1"/>
      <protection locked="0"/>
    </xf>
    <xf numFmtId="49" fontId="114" fillId="15" borderId="123" xfId="0" applyNumberFormat="1" applyFont="1" applyFill="1" applyBorder="1" applyAlignment="1">
      <alignment horizontal="right" vertical="center"/>
    </xf>
    <xf numFmtId="166" fontId="56" fillId="23" borderId="78" xfId="0" applyNumberFormat="1" applyFont="1" applyFill="1" applyBorder="1" applyAlignment="1">
      <alignment horizontal="right" shrinkToFit="1"/>
    </xf>
    <xf numFmtId="166" fontId="56" fillId="23" borderId="82" xfId="0" applyNumberFormat="1" applyFont="1" applyFill="1" applyBorder="1" applyAlignment="1">
      <alignment horizontal="right" shrinkToFit="1"/>
    </xf>
    <xf numFmtId="166" fontId="56" fillId="23" borderId="86" xfId="0" applyNumberFormat="1" applyFont="1" applyFill="1" applyBorder="1" applyAlignment="1">
      <alignment horizontal="right" shrinkToFit="1"/>
    </xf>
    <xf numFmtId="0" fontId="98" fillId="8" borderId="153" xfId="0" applyFont="1" applyFill="1" applyBorder="1" applyAlignment="1">
      <alignment horizontal="right" shrinkToFit="1"/>
    </xf>
    <xf numFmtId="3" fontId="98" fillId="8" borderId="154" xfId="0" applyNumberFormat="1" applyFont="1" applyFill="1" applyBorder="1" applyAlignment="1">
      <alignment horizontal="right" shrinkToFit="1"/>
    </xf>
    <xf numFmtId="3" fontId="56" fillId="8" borderId="155" xfId="0" applyNumberFormat="1" applyFont="1" applyFill="1" applyBorder="1" applyAlignment="1">
      <alignment horizontal="right" shrinkToFit="1"/>
    </xf>
    <xf numFmtId="2" fontId="99" fillId="8" borderId="0" xfId="0" applyNumberFormat="1" applyFont="1" applyFill="1" applyAlignment="1">
      <alignment horizontal="center" shrinkToFit="1"/>
    </xf>
    <xf numFmtId="4" fontId="99" fillId="8" borderId="0" xfId="0" applyNumberFormat="1" applyFont="1" applyFill="1" applyAlignment="1">
      <alignment horizontal="center" shrinkToFit="1"/>
    </xf>
    <xf numFmtId="166" fontId="99" fillId="8" borderId="0" xfId="0" applyNumberFormat="1" applyFont="1" applyFill="1" applyAlignment="1">
      <alignment horizontal="right" shrinkToFit="1"/>
    </xf>
    <xf numFmtId="0" fontId="100" fillId="26" borderId="112" xfId="0" applyFont="1" applyFill="1" applyBorder="1" applyAlignment="1">
      <alignment horizontal="center"/>
    </xf>
    <xf numFmtId="0" fontId="100" fillId="26" borderId="113" xfId="0" applyFont="1" applyFill="1" applyBorder="1" applyAlignment="1">
      <alignment horizontal="center"/>
    </xf>
    <xf numFmtId="0" fontId="54" fillId="26" borderId="113" xfId="0" applyFont="1" applyFill="1" applyBorder="1" applyAlignment="1">
      <alignment horizontal="center"/>
    </xf>
    <xf numFmtId="2" fontId="101" fillId="26" borderId="113" xfId="0" applyNumberFormat="1" applyFont="1" applyFill="1" applyBorder="1" applyAlignment="1">
      <alignment horizontal="center"/>
    </xf>
    <xf numFmtId="1" fontId="101" fillId="26" borderId="113" xfId="0" applyNumberFormat="1" applyFont="1" applyFill="1" applyBorder="1" applyAlignment="1">
      <alignment horizontal="center"/>
    </xf>
    <xf numFmtId="1" fontId="101" fillId="26" borderId="114" xfId="0" applyNumberFormat="1" applyFont="1" applyFill="1" applyBorder="1" applyAlignment="1">
      <alignment horizontal="center"/>
    </xf>
    <xf numFmtId="0" fontId="49" fillId="26" borderId="115" xfId="0" applyFont="1" applyFill="1" applyBorder="1" applyAlignment="1">
      <alignment vertical="center"/>
    </xf>
    <xf numFmtId="3" fontId="53" fillId="26" borderId="115" xfId="0" applyNumberFormat="1" applyFont="1" applyFill="1" applyBorder="1" applyAlignment="1">
      <alignment horizontal="right" shrinkToFit="1"/>
    </xf>
    <xf numFmtId="10" fontId="53" fillId="26" borderId="115" xfId="0" applyNumberFormat="1" applyFont="1" applyFill="1" applyBorder="1" applyAlignment="1">
      <alignment horizontal="right" shrinkToFit="1"/>
    </xf>
    <xf numFmtId="1" fontId="101" fillId="26" borderId="115" xfId="0" applyNumberFormat="1" applyFont="1" applyFill="1" applyBorder="1" applyAlignment="1">
      <alignment horizontal="center"/>
    </xf>
    <xf numFmtId="0" fontId="100" fillId="26" borderId="115" xfId="0" applyFont="1" applyFill="1" applyBorder="1"/>
    <xf numFmtId="0" fontId="100" fillId="26" borderId="119" xfId="0" applyFont="1" applyFill="1" applyBorder="1"/>
    <xf numFmtId="0" fontId="100" fillId="26" borderId="116" xfId="0" applyFont="1" applyFill="1" applyBorder="1" applyAlignment="1">
      <alignment horizontal="center"/>
    </xf>
    <xf numFmtId="0" fontId="100" fillId="26" borderId="0" xfId="0" applyFont="1" applyFill="1" applyAlignment="1">
      <alignment horizontal="center"/>
    </xf>
    <xf numFmtId="0" fontId="100" fillId="26" borderId="116" xfId="0" applyFont="1" applyFill="1" applyBorder="1"/>
    <xf numFmtId="0" fontId="100" fillId="26" borderId="0" xfId="0" applyFont="1" applyFill="1"/>
    <xf numFmtId="0" fontId="100" fillId="26" borderId="117" xfId="0" applyFont="1" applyFill="1" applyBorder="1"/>
    <xf numFmtId="0" fontId="100" fillId="26" borderId="118" xfId="0" applyFont="1" applyFill="1" applyBorder="1"/>
    <xf numFmtId="0" fontId="53" fillId="26" borderId="116" xfId="0" applyFont="1" applyFill="1" applyBorder="1" applyAlignment="1">
      <alignment horizontal="center"/>
    </xf>
    <xf numFmtId="0" fontId="98" fillId="26" borderId="116" xfId="0" applyFont="1" applyFill="1" applyBorder="1" applyAlignment="1">
      <alignment horizontal="center"/>
    </xf>
    <xf numFmtId="1" fontId="101" fillId="26" borderId="0" xfId="0" applyNumberFormat="1" applyFont="1" applyFill="1" applyAlignment="1">
      <alignment horizontal="center" shrinkToFit="1"/>
    </xf>
    <xf numFmtId="0" fontId="51" fillId="6" borderId="19" xfId="0" applyFont="1" applyFill="1" applyBorder="1" applyAlignment="1">
      <alignment horizontal="center" vertical="center"/>
    </xf>
    <xf numFmtId="0" fontId="142" fillId="6" borderId="0" xfId="0" applyFont="1" applyFill="1"/>
    <xf numFmtId="0" fontId="143" fillId="6" borderId="0" xfId="0" applyFont="1" applyFill="1"/>
    <xf numFmtId="0" fontId="55" fillId="8" borderId="102" xfId="0" applyFont="1" applyFill="1" applyBorder="1" applyAlignment="1">
      <alignment vertical="center"/>
    </xf>
    <xf numFmtId="0" fontId="75" fillId="6" borderId="0" xfId="0" applyFont="1" applyFill="1" applyAlignment="1">
      <alignment horizontal="left"/>
    </xf>
    <xf numFmtId="0" fontId="76" fillId="6" borderId="0" xfId="0" applyFont="1" applyFill="1" applyAlignment="1">
      <alignment horizontal="left"/>
    </xf>
    <xf numFmtId="0" fontId="145" fillId="6" borderId="0" xfId="0" applyFont="1" applyFill="1"/>
    <xf numFmtId="0" fontId="53" fillId="8" borderId="96" xfId="0" applyFont="1" applyFill="1" applyBorder="1" applyAlignment="1">
      <alignment vertical="center"/>
    </xf>
    <xf numFmtId="1" fontId="53" fillId="8" borderId="96" xfId="0" applyNumberFormat="1" applyFont="1" applyFill="1" applyBorder="1" applyAlignment="1" applyProtection="1">
      <alignment vertical="center"/>
      <protection locked="0"/>
    </xf>
    <xf numFmtId="0" fontId="75" fillId="6" borderId="0" xfId="0" applyFont="1" applyFill="1" applyAlignment="1">
      <alignment horizontal="left" vertical="top"/>
    </xf>
    <xf numFmtId="0" fontId="146" fillId="6" borderId="0" xfId="0" applyFont="1" applyFill="1"/>
    <xf numFmtId="0" fontId="116" fillId="6" borderId="0" xfId="0" applyFont="1" applyFill="1" applyAlignment="1">
      <alignment horizontal="left"/>
    </xf>
    <xf numFmtId="0" fontId="147" fillId="6" borderId="0" xfId="0" applyFont="1" applyFill="1"/>
    <xf numFmtId="0" fontId="148" fillId="6" borderId="0" xfId="0" applyFont="1" applyFill="1" applyAlignment="1">
      <alignment horizontal="left"/>
    </xf>
    <xf numFmtId="0" fontId="53" fillId="8" borderId="102" xfId="0" applyFont="1" applyFill="1" applyBorder="1" applyAlignment="1">
      <alignment vertical="center"/>
    </xf>
    <xf numFmtId="0" fontId="116" fillId="6" borderId="0" xfId="0" applyFont="1" applyFill="1"/>
    <xf numFmtId="0" fontId="152" fillId="6" borderId="0" xfId="0" applyFont="1" applyFill="1"/>
    <xf numFmtId="0" fontId="151" fillId="6" borderId="0" xfId="0" applyFont="1" applyFill="1"/>
    <xf numFmtId="0" fontId="153" fillId="6" borderId="0" xfId="0" applyFont="1" applyFill="1"/>
    <xf numFmtId="0" fontId="154" fillId="6" borderId="0" xfId="0" applyFont="1" applyFill="1"/>
    <xf numFmtId="0" fontId="116" fillId="6" borderId="0" xfId="0" applyFont="1" applyFill="1" applyAlignment="1">
      <alignment vertical="top"/>
    </xf>
    <xf numFmtId="0" fontId="142" fillId="6" borderId="95" xfId="0" applyFont="1" applyFill="1" applyBorder="1" applyAlignment="1">
      <alignment vertical="center"/>
    </xf>
    <xf numFmtId="0" fontId="155" fillId="6" borderId="0" xfId="0" applyFont="1" applyFill="1"/>
    <xf numFmtId="0" fontId="159" fillId="6" borderId="95" xfId="0" applyFont="1" applyFill="1" applyBorder="1" applyAlignment="1">
      <alignment vertical="center"/>
    </xf>
    <xf numFmtId="0" fontId="77" fillId="6" borderId="0" xfId="0" applyFont="1" applyFill="1"/>
    <xf numFmtId="0" fontId="105" fillId="19" borderId="14" xfId="0" applyFont="1" applyFill="1" applyBorder="1"/>
    <xf numFmtId="49" fontId="54" fillId="19" borderId="48" xfId="0" applyNumberFormat="1" applyFont="1" applyFill="1" applyBorder="1" applyAlignment="1">
      <alignment horizontal="right" vertical="center" shrinkToFit="1"/>
    </xf>
    <xf numFmtId="0" fontId="58" fillId="19" borderId="14" xfId="0" applyFont="1" applyFill="1" applyBorder="1"/>
    <xf numFmtId="49" fontId="98" fillId="19" borderId="14" xfId="0" applyNumberFormat="1" applyFont="1" applyFill="1" applyBorder="1" applyAlignment="1">
      <alignment horizontal="right" vertical="center" shrinkToFit="1"/>
    </xf>
    <xf numFmtId="49" fontId="98" fillId="19" borderId="48" xfId="0" applyNumberFormat="1" applyFont="1" applyFill="1" applyBorder="1" applyAlignment="1">
      <alignment horizontal="right" vertical="center" shrinkToFit="1"/>
    </xf>
    <xf numFmtId="49" fontId="98" fillId="19" borderId="30" xfId="0" applyNumberFormat="1" applyFont="1" applyFill="1" applyBorder="1" applyAlignment="1">
      <alignment horizontal="right" vertical="center" shrinkToFit="1"/>
    </xf>
    <xf numFmtId="166" fontId="54" fillId="2" borderId="0" xfId="0" applyNumberFormat="1" applyFont="1" applyFill="1" applyAlignment="1">
      <alignment vertical="center" shrinkToFit="1"/>
    </xf>
    <xf numFmtId="166" fontId="54" fillId="2" borderId="1" xfId="0" applyNumberFormat="1" applyFont="1" applyFill="1" applyBorder="1" applyAlignment="1">
      <alignment vertical="center" shrinkToFit="1"/>
    </xf>
    <xf numFmtId="49" fontId="160" fillId="15" borderId="123" xfId="0" applyNumberFormat="1" applyFont="1" applyFill="1" applyBorder="1" applyAlignment="1">
      <alignment vertical="center"/>
    </xf>
    <xf numFmtId="0" fontId="107" fillId="19" borderId="14" xfId="0" applyFont="1" applyFill="1" applyBorder="1" applyAlignment="1">
      <alignment horizontal="center"/>
    </xf>
    <xf numFmtId="0" fontId="98" fillId="2" borderId="14" xfId="0" applyFont="1" applyFill="1" applyBorder="1" applyAlignment="1">
      <alignment horizontal="center" vertical="center"/>
    </xf>
    <xf numFmtId="49" fontId="98" fillId="2" borderId="14" xfId="0" applyNumberFormat="1" applyFont="1" applyFill="1" applyBorder="1" applyAlignment="1">
      <alignment horizontal="right" vertical="center" shrinkToFit="1"/>
    </xf>
    <xf numFmtId="0" fontId="161" fillId="23" borderId="19" xfId="0" applyFont="1" applyFill="1" applyBorder="1" applyAlignment="1">
      <alignment horizontal="right" shrinkToFit="1"/>
    </xf>
    <xf numFmtId="3" fontId="161" fillId="23" borderId="23" xfId="0" applyNumberFormat="1" applyFont="1" applyFill="1" applyBorder="1" applyAlignment="1">
      <alignment horizontal="right" shrinkToFit="1"/>
    </xf>
    <xf numFmtId="0" fontId="162" fillId="23" borderId="76" xfId="0" applyFont="1" applyFill="1" applyBorder="1" applyAlignment="1">
      <alignment horizontal="right" shrinkToFit="1"/>
    </xf>
    <xf numFmtId="3" fontId="163" fillId="23" borderId="77" xfId="0" applyNumberFormat="1" applyFont="1" applyFill="1" applyBorder="1" applyAlignment="1">
      <alignment horizontal="right" shrinkToFit="1"/>
    </xf>
    <xf numFmtId="0" fontId="162" fillId="23" borderId="80" xfId="0" applyFont="1" applyFill="1" applyBorder="1" applyAlignment="1">
      <alignment horizontal="right" shrinkToFit="1"/>
    </xf>
    <xf numFmtId="3" fontId="163" fillId="23" borderId="81" xfId="0" applyNumberFormat="1" applyFont="1" applyFill="1" applyBorder="1" applyAlignment="1">
      <alignment horizontal="right" shrinkToFit="1"/>
    </xf>
    <xf numFmtId="0" fontId="162" fillId="23" borderId="84" xfId="0" applyFont="1" applyFill="1" applyBorder="1" applyAlignment="1">
      <alignment horizontal="right" shrinkToFit="1"/>
    </xf>
    <xf numFmtId="3" fontId="163" fillId="23" borderId="85" xfId="0" applyNumberFormat="1" applyFont="1" applyFill="1" applyBorder="1" applyAlignment="1">
      <alignment horizontal="right" shrinkToFit="1"/>
    </xf>
    <xf numFmtId="166" fontId="98" fillId="23" borderId="74" xfId="0" applyNumberFormat="1" applyFont="1" applyFill="1" applyBorder="1" applyAlignment="1">
      <alignment horizontal="right" shrinkToFit="1"/>
    </xf>
    <xf numFmtId="0" fontId="164" fillId="23" borderId="19" xfId="0" applyFont="1" applyFill="1" applyBorder="1" applyAlignment="1">
      <alignment horizontal="right" shrinkToFit="1"/>
    </xf>
    <xf numFmtId="3" fontId="164" fillId="23" borderId="22" xfId="0" applyNumberFormat="1" applyFont="1" applyFill="1" applyBorder="1" applyAlignment="1">
      <alignment horizontal="right" shrinkToFit="1"/>
    </xf>
    <xf numFmtId="0" fontId="165" fillId="8" borderId="30" xfId="0" applyFont="1" applyFill="1" applyBorder="1" applyAlignment="1">
      <alignment horizontal="right" shrinkToFit="1"/>
    </xf>
    <xf numFmtId="3" fontId="165" fillId="8" borderId="23" xfId="0" applyNumberFormat="1" applyFont="1" applyFill="1" applyBorder="1" applyAlignment="1">
      <alignment horizontal="right" shrinkToFit="1"/>
    </xf>
    <xf numFmtId="0" fontId="165" fillId="8" borderId="159" xfId="0" applyFont="1" applyFill="1" applyBorder="1" applyAlignment="1">
      <alignment horizontal="right" shrinkToFit="1"/>
    </xf>
    <xf numFmtId="3" fontId="165" fillId="8" borderId="160" xfId="0" applyNumberFormat="1" applyFont="1" applyFill="1" applyBorder="1" applyAlignment="1">
      <alignment horizontal="right" shrinkToFit="1"/>
    </xf>
    <xf numFmtId="166" fontId="98" fillId="8" borderId="157" xfId="0" applyNumberFormat="1" applyFont="1" applyFill="1" applyBorder="1" applyAlignment="1">
      <alignment horizontal="right" shrinkToFit="1"/>
    </xf>
    <xf numFmtId="166" fontId="98" fillId="8" borderId="161" xfId="0" applyNumberFormat="1" applyFont="1" applyFill="1" applyBorder="1" applyAlignment="1">
      <alignment horizontal="right" shrinkToFit="1"/>
    </xf>
    <xf numFmtId="0" fontId="53" fillId="23" borderId="120" xfId="0" applyFont="1" applyFill="1" applyBorder="1" applyAlignment="1">
      <alignment horizontal="center" shrinkToFit="1"/>
    </xf>
    <xf numFmtId="0" fontId="53" fillId="23" borderId="73" xfId="0" applyFont="1" applyFill="1" applyBorder="1" applyAlignment="1">
      <alignment horizontal="center" shrinkToFit="1"/>
    </xf>
    <xf numFmtId="0" fontId="53" fillId="23" borderId="75" xfId="0" applyFont="1" applyFill="1" applyBorder="1" applyAlignment="1">
      <alignment horizontal="center" shrinkToFit="1"/>
    </xf>
    <xf numFmtId="0" fontId="53" fillId="23" borderId="79" xfId="0" applyFont="1" applyFill="1" applyBorder="1" applyAlignment="1">
      <alignment horizontal="center" shrinkToFit="1"/>
    </xf>
    <xf numFmtId="0" fontId="53" fillId="23" borderId="83" xfId="0" applyFont="1" applyFill="1" applyBorder="1" applyAlignment="1">
      <alignment horizontal="center" shrinkToFit="1"/>
    </xf>
    <xf numFmtId="0" fontId="100" fillId="26" borderId="0" xfId="0" applyFont="1" applyFill="1" applyAlignment="1">
      <alignment horizontal="center" shrinkToFit="1"/>
    </xf>
    <xf numFmtId="0" fontId="54" fillId="26" borderId="0" xfId="0" applyFont="1" applyFill="1" applyAlignment="1">
      <alignment horizontal="center" shrinkToFit="1"/>
    </xf>
    <xf numFmtId="2" fontId="101" fillId="26" borderId="0" xfId="0" applyNumberFormat="1" applyFont="1" applyFill="1" applyAlignment="1">
      <alignment horizontal="center" shrinkToFit="1"/>
    </xf>
    <xf numFmtId="0" fontId="53" fillId="8" borderId="152" xfId="0" applyFont="1" applyFill="1" applyBorder="1" applyAlignment="1">
      <alignment horizontal="center" shrinkToFit="1"/>
    </xf>
    <xf numFmtId="0" fontId="53" fillId="8" borderId="156" xfId="0" applyFont="1" applyFill="1" applyBorder="1" applyAlignment="1">
      <alignment horizontal="center" shrinkToFit="1"/>
    </xf>
    <xf numFmtId="0" fontId="53" fillId="8" borderId="158" xfId="0" applyFont="1" applyFill="1" applyBorder="1" applyAlignment="1">
      <alignment horizontal="center" shrinkToFit="1"/>
    </xf>
    <xf numFmtId="10" fontId="56" fillId="8" borderId="15" xfId="0" applyNumberFormat="1" applyFont="1" applyFill="1" applyBorder="1" applyAlignment="1">
      <alignment horizontal="right" shrinkToFit="1"/>
    </xf>
    <xf numFmtId="0" fontId="21" fillId="5" borderId="190" xfId="0" applyFont="1" applyFill="1" applyBorder="1"/>
    <xf numFmtId="0" fontId="21" fillId="5" borderId="191" xfId="0" applyFont="1" applyFill="1" applyBorder="1"/>
    <xf numFmtId="0" fontId="21" fillId="5" borderId="192" xfId="0" applyFont="1" applyFill="1" applyBorder="1"/>
    <xf numFmtId="0" fontId="21" fillId="5" borderId="193" xfId="0" applyFont="1" applyFill="1" applyBorder="1"/>
    <xf numFmtId="0" fontId="21" fillId="5" borderId="194" xfId="0" applyFont="1" applyFill="1" applyBorder="1"/>
    <xf numFmtId="0" fontId="21" fillId="5" borderId="195" xfId="0" applyFont="1" applyFill="1" applyBorder="1"/>
    <xf numFmtId="0" fontId="21" fillId="5" borderId="196" xfId="0" applyFont="1" applyFill="1" applyBorder="1"/>
    <xf numFmtId="0" fontId="21" fillId="5" borderId="197" xfId="0" applyFont="1" applyFill="1" applyBorder="1"/>
    <xf numFmtId="0" fontId="77" fillId="5" borderId="169" xfId="0" applyFont="1" applyFill="1" applyBorder="1" applyAlignment="1" applyProtection="1">
      <alignment vertical="center"/>
      <protection locked="0"/>
    </xf>
    <xf numFmtId="0" fontId="77" fillId="5" borderId="169" xfId="0" applyFont="1" applyFill="1" applyBorder="1" applyAlignment="1" applyProtection="1">
      <alignment horizontal="left" vertical="center"/>
      <protection locked="0"/>
    </xf>
    <xf numFmtId="0" fontId="98" fillId="3" borderId="176" xfId="0" applyFont="1" applyFill="1" applyBorder="1" applyAlignment="1" applyProtection="1">
      <alignment horizontal="left"/>
      <protection locked="0"/>
    </xf>
    <xf numFmtId="169" fontId="91" fillId="13" borderId="63" xfId="0" applyNumberFormat="1" applyFont="1" applyFill="1" applyBorder="1" applyAlignment="1">
      <alignment shrinkToFit="1"/>
    </xf>
    <xf numFmtId="169" fontId="95" fillId="5" borderId="27" xfId="0" applyNumberFormat="1" applyFont="1" applyFill="1" applyBorder="1" applyAlignment="1" applyProtection="1">
      <alignment shrinkToFit="1"/>
      <protection locked="0"/>
    </xf>
    <xf numFmtId="169" fontId="95" fillId="5" borderId="25" xfId="0" applyNumberFormat="1" applyFont="1" applyFill="1" applyBorder="1" applyAlignment="1" applyProtection="1">
      <alignment shrinkToFit="1"/>
      <protection locked="0"/>
    </xf>
    <xf numFmtId="169" fontId="95" fillId="5" borderId="26" xfId="0" applyNumberFormat="1" applyFont="1" applyFill="1" applyBorder="1" applyAlignment="1" applyProtection="1">
      <alignment shrinkToFit="1"/>
      <protection locked="0"/>
    </xf>
    <xf numFmtId="169" fontId="91" fillId="13" borderId="62" xfId="0" applyNumberFormat="1" applyFont="1" applyFill="1" applyBorder="1" applyAlignment="1">
      <alignment shrinkToFit="1"/>
    </xf>
    <xf numFmtId="169" fontId="95" fillId="2" borderId="27" xfId="0" applyNumberFormat="1" applyFont="1" applyFill="1" applyBorder="1" applyAlignment="1" applyProtection="1">
      <alignment shrinkToFit="1"/>
      <protection locked="0"/>
    </xf>
    <xf numFmtId="169" fontId="95" fillId="2" borderId="25" xfId="0" applyNumberFormat="1" applyFont="1" applyFill="1" applyBorder="1" applyAlignment="1" applyProtection="1">
      <alignment shrinkToFit="1"/>
      <protection locked="0"/>
    </xf>
    <xf numFmtId="169" fontId="77" fillId="23" borderId="26" xfId="0" applyNumberFormat="1" applyFont="1" applyFill="1" applyBorder="1" applyAlignment="1">
      <alignment shrinkToFit="1"/>
    </xf>
    <xf numFmtId="169" fontId="95" fillId="2" borderId="26" xfId="0" applyNumberFormat="1" applyFont="1" applyFill="1" applyBorder="1" applyAlignment="1" applyProtection="1">
      <alignment shrinkToFit="1"/>
      <protection locked="0"/>
    </xf>
    <xf numFmtId="169" fontId="95" fillId="2" borderId="145" xfId="0" applyNumberFormat="1" applyFont="1" applyFill="1" applyBorder="1" applyAlignment="1" applyProtection="1">
      <alignment shrinkToFit="1"/>
      <protection locked="0"/>
    </xf>
    <xf numFmtId="169" fontId="91" fillId="12" borderId="134" xfId="0" applyNumberFormat="1" applyFont="1" applyFill="1" applyBorder="1" applyAlignment="1">
      <alignment shrinkToFit="1"/>
    </xf>
    <xf numFmtId="169" fontId="91" fillId="11" borderId="63" xfId="0" applyNumberFormat="1" applyFont="1" applyFill="1" applyBorder="1" applyAlignment="1">
      <alignment shrinkToFit="1"/>
    </xf>
    <xf numFmtId="169" fontId="58" fillId="8" borderId="22" xfId="0" applyNumberFormat="1" applyFont="1" applyFill="1" applyBorder="1"/>
    <xf numFmtId="169" fontId="77" fillId="8" borderId="22" xfId="0" applyNumberFormat="1" applyFont="1" applyFill="1" applyBorder="1" applyAlignment="1">
      <alignment shrinkToFit="1"/>
    </xf>
    <xf numFmtId="169" fontId="95" fillId="2" borderId="22" xfId="0" applyNumberFormat="1" applyFont="1" applyFill="1" applyBorder="1" applyAlignment="1" applyProtection="1">
      <alignment shrinkToFit="1"/>
      <protection locked="0"/>
    </xf>
    <xf numFmtId="169" fontId="95" fillId="2" borderId="23" xfId="0" applyNumberFormat="1" applyFont="1" applyFill="1" applyBorder="1" applyAlignment="1" applyProtection="1">
      <alignment shrinkToFit="1"/>
      <protection locked="0"/>
    </xf>
    <xf numFmtId="169" fontId="91" fillId="11" borderId="62" xfId="0" applyNumberFormat="1" applyFont="1" applyFill="1" applyBorder="1" applyAlignment="1">
      <alignment shrinkToFit="1"/>
    </xf>
    <xf numFmtId="169" fontId="77" fillId="8" borderId="26" xfId="0" applyNumberFormat="1" applyFont="1" applyFill="1" applyBorder="1" applyAlignment="1">
      <alignment shrinkToFit="1"/>
    </xf>
    <xf numFmtId="169" fontId="95" fillId="2" borderId="111" xfId="0" applyNumberFormat="1" applyFont="1" applyFill="1" applyBorder="1" applyAlignment="1" applyProtection="1">
      <alignment shrinkToFit="1"/>
      <protection locked="0"/>
    </xf>
    <xf numFmtId="169" fontId="91" fillId="10" borderId="140" xfId="0" applyNumberFormat="1" applyFont="1" applyFill="1" applyBorder="1" applyAlignment="1">
      <alignment shrinkToFit="1"/>
    </xf>
    <xf numFmtId="169" fontId="95" fillId="2" borderId="72" xfId="0" applyNumberFormat="1" applyFont="1" applyFill="1" applyBorder="1" applyAlignment="1" applyProtection="1">
      <alignment shrinkToFit="1"/>
      <protection locked="0"/>
    </xf>
    <xf numFmtId="170" fontId="95" fillId="2" borderId="25" xfId="0" applyNumberFormat="1" applyFont="1" applyFill="1" applyBorder="1" applyAlignment="1" applyProtection="1">
      <alignment shrinkToFit="1"/>
      <protection locked="0"/>
    </xf>
    <xf numFmtId="170" fontId="95" fillId="2" borderId="26" xfId="0" applyNumberFormat="1" applyFont="1" applyFill="1" applyBorder="1" applyAlignment="1" applyProtection="1">
      <alignment shrinkToFit="1"/>
      <protection locked="0"/>
    </xf>
    <xf numFmtId="0" fontId="55" fillId="10" borderId="139" xfId="0" applyFont="1" applyFill="1" applyBorder="1" applyAlignment="1">
      <alignment horizontal="center"/>
    </xf>
    <xf numFmtId="170" fontId="95" fillId="2" borderId="72" xfId="0" applyNumberFormat="1" applyFont="1" applyFill="1" applyBorder="1" applyAlignment="1" applyProtection="1">
      <alignment shrinkToFit="1"/>
      <protection locked="0"/>
    </xf>
    <xf numFmtId="169" fontId="91" fillId="10" borderId="141" xfId="0" applyNumberFormat="1" applyFont="1" applyFill="1" applyBorder="1" applyAlignment="1">
      <alignment shrinkToFit="1"/>
    </xf>
    <xf numFmtId="169" fontId="91" fillId="12" borderId="135" xfId="0" applyNumberFormat="1" applyFont="1" applyFill="1" applyBorder="1" applyAlignment="1">
      <alignment shrinkToFit="1"/>
    </xf>
    <xf numFmtId="0" fontId="58" fillId="5" borderId="15" xfId="0" applyFont="1" applyFill="1" applyBorder="1"/>
    <xf numFmtId="0" fontId="92" fillId="5" borderId="15" xfId="0" applyFont="1" applyFill="1" applyBorder="1"/>
    <xf numFmtId="0" fontId="93" fillId="5" borderId="0" xfId="0" applyFont="1" applyFill="1" applyProtection="1">
      <protection locked="0"/>
    </xf>
    <xf numFmtId="0" fontId="92" fillId="5" borderId="0" xfId="0" applyFont="1" applyFill="1" applyProtection="1">
      <protection locked="0"/>
    </xf>
    <xf numFmtId="169" fontId="92" fillId="5" borderId="0" xfId="0" applyNumberFormat="1" applyFont="1" applyFill="1" applyProtection="1">
      <protection locked="0"/>
    </xf>
    <xf numFmtId="0" fontId="44" fillId="5" borderId="1" xfId="0" applyFont="1" applyFill="1" applyBorder="1"/>
    <xf numFmtId="0" fontId="21" fillId="5" borderId="1" xfId="0" applyFont="1" applyFill="1" applyBorder="1"/>
    <xf numFmtId="0" fontId="21" fillId="5" borderId="19" xfId="0" applyFont="1" applyFill="1" applyBorder="1"/>
    <xf numFmtId="0" fontId="21" fillId="5" borderId="17" xfId="0" applyFont="1" applyFill="1" applyBorder="1"/>
    <xf numFmtId="0" fontId="21" fillId="5" borderId="14" xfId="0" applyFont="1" applyFill="1" applyBorder="1"/>
    <xf numFmtId="0" fontId="55" fillId="27" borderId="0" xfId="0" applyFont="1" applyFill="1" applyAlignment="1">
      <alignment horizontal="right"/>
    </xf>
    <xf numFmtId="169" fontId="91" fillId="27" borderId="0" xfId="0" applyNumberFormat="1" applyFont="1" applyFill="1" applyAlignment="1" applyProtection="1">
      <alignment shrinkToFit="1"/>
      <protection locked="0"/>
    </xf>
    <xf numFmtId="4" fontId="91" fillId="27" borderId="0" xfId="0" applyNumberFormat="1" applyFont="1" applyFill="1" applyAlignment="1" applyProtection="1">
      <alignment shrinkToFit="1"/>
      <protection locked="0"/>
    </xf>
    <xf numFmtId="0" fontId="21" fillId="5" borderId="15" xfId="0" applyFont="1" applyFill="1" applyBorder="1"/>
    <xf numFmtId="49" fontId="21" fillId="5" borderId="0" xfId="0" applyNumberFormat="1" applyFont="1" applyFill="1" applyAlignment="1">
      <alignment shrinkToFit="1"/>
    </xf>
    <xf numFmtId="49" fontId="58" fillId="5" borderId="0" xfId="0" applyNumberFormat="1" applyFont="1" applyFill="1" applyAlignment="1">
      <alignment shrinkToFit="1"/>
    </xf>
    <xf numFmtId="0" fontId="58" fillId="5" borderId="0" xfId="0" applyFont="1" applyFill="1"/>
    <xf numFmtId="0" fontId="90" fillId="5" borderId="0" xfId="0" applyFont="1" applyFill="1" applyAlignment="1">
      <alignment horizontal="center"/>
    </xf>
    <xf numFmtId="0" fontId="48" fillId="28" borderId="100" xfId="0" applyFont="1" applyFill="1" applyBorder="1" applyAlignment="1">
      <alignment horizontal="center"/>
    </xf>
    <xf numFmtId="0" fontId="21" fillId="5" borderId="14" xfId="0" applyFont="1" applyFill="1" applyBorder="1" applyAlignment="1">
      <alignment horizontal="center"/>
    </xf>
    <xf numFmtId="49" fontId="120" fillId="16" borderId="60" xfId="0" applyNumberFormat="1" applyFont="1" applyFill="1" applyBorder="1" applyAlignment="1">
      <alignment horizontal="center" shrinkToFit="1"/>
    </xf>
    <xf numFmtId="49" fontId="120" fillId="16" borderId="61" xfId="0" applyNumberFormat="1" applyFont="1" applyFill="1" applyBorder="1" applyAlignment="1">
      <alignment horizontal="center" shrinkToFit="1"/>
    </xf>
    <xf numFmtId="0" fontId="76" fillId="10" borderId="139" xfId="0" applyFont="1" applyFill="1" applyBorder="1" applyAlignment="1">
      <alignment horizontal="right"/>
    </xf>
    <xf numFmtId="0" fontId="76" fillId="10" borderId="140" xfId="0" applyFont="1" applyFill="1" applyBorder="1" applyAlignment="1">
      <alignment horizontal="right"/>
    </xf>
    <xf numFmtId="49" fontId="76" fillId="10" borderId="69" xfId="0" applyNumberFormat="1" applyFont="1" applyFill="1" applyBorder="1" applyAlignment="1">
      <alignment horizontal="center" shrinkToFit="1"/>
    </xf>
    <xf numFmtId="49" fontId="76" fillId="10" borderId="60" xfId="0" applyNumberFormat="1" applyFont="1" applyFill="1" applyBorder="1" applyAlignment="1">
      <alignment horizontal="center" shrinkToFit="1"/>
    </xf>
    <xf numFmtId="49" fontId="76" fillId="10" borderId="61" xfId="0" applyNumberFormat="1" applyFont="1" applyFill="1" applyBorder="1" applyAlignment="1">
      <alignment horizontal="center" shrinkToFit="1"/>
    </xf>
    <xf numFmtId="49" fontId="86" fillId="15" borderId="122" xfId="0" applyNumberFormat="1" applyFont="1" applyFill="1" applyBorder="1" applyAlignment="1">
      <alignment horizontal="center" vertical="center" shrinkToFit="1"/>
    </xf>
    <xf numFmtId="49" fontId="86" fillId="15" borderId="123" xfId="0" applyNumberFormat="1" applyFont="1" applyFill="1" applyBorder="1" applyAlignment="1">
      <alignment horizontal="center" vertical="center" shrinkToFit="1"/>
    </xf>
    <xf numFmtId="49" fontId="86" fillId="15" borderId="124" xfId="0" applyNumberFormat="1" applyFont="1" applyFill="1" applyBorder="1" applyAlignment="1">
      <alignment horizontal="center" vertical="center" shrinkToFit="1"/>
    </xf>
    <xf numFmtId="49" fontId="76" fillId="10" borderId="64" xfId="0" applyNumberFormat="1" applyFont="1" applyFill="1" applyBorder="1" applyAlignment="1">
      <alignment horizontal="center" shrinkToFit="1"/>
    </xf>
    <xf numFmtId="49" fontId="76" fillId="10" borderId="65" xfId="0" applyNumberFormat="1" applyFont="1" applyFill="1" applyBorder="1" applyAlignment="1">
      <alignment horizontal="center" shrinkToFit="1"/>
    </xf>
    <xf numFmtId="49" fontId="76" fillId="10" borderId="66" xfId="0" applyNumberFormat="1" applyFont="1" applyFill="1" applyBorder="1" applyAlignment="1">
      <alignment horizontal="center" shrinkToFit="1"/>
    </xf>
    <xf numFmtId="1" fontId="120" fillId="18" borderId="130" xfId="0" applyNumberFormat="1" applyFont="1" applyFill="1" applyBorder="1" applyAlignment="1">
      <alignment horizontal="center" shrinkToFit="1"/>
    </xf>
    <xf numFmtId="1" fontId="120" fillId="18" borderId="131" xfId="0" applyNumberFormat="1" applyFont="1" applyFill="1" applyBorder="1" applyAlignment="1">
      <alignment horizontal="center" shrinkToFit="1"/>
    </xf>
    <xf numFmtId="1" fontId="120" fillId="18" borderId="132" xfId="0" applyNumberFormat="1" applyFont="1" applyFill="1" applyBorder="1" applyAlignment="1">
      <alignment horizontal="center" shrinkToFit="1"/>
    </xf>
    <xf numFmtId="49" fontId="76" fillId="12" borderId="67" xfId="0" applyNumberFormat="1" applyFont="1" applyFill="1" applyBorder="1" applyAlignment="1">
      <alignment horizontal="center" shrinkToFit="1"/>
    </xf>
    <xf numFmtId="49" fontId="76" fillId="12" borderId="11" xfId="0" applyNumberFormat="1" applyFont="1" applyFill="1" applyBorder="1" applyAlignment="1">
      <alignment horizontal="center" shrinkToFit="1"/>
    </xf>
    <xf numFmtId="49" fontId="76" fillId="12" borderId="68" xfId="0" applyNumberFormat="1" applyFont="1" applyFill="1" applyBorder="1" applyAlignment="1">
      <alignment horizontal="center" shrinkToFit="1"/>
    </xf>
    <xf numFmtId="49" fontId="76" fillId="12" borderId="69" xfId="0" applyNumberFormat="1" applyFont="1" applyFill="1" applyBorder="1" applyAlignment="1">
      <alignment horizontal="center" shrinkToFit="1"/>
    </xf>
    <xf numFmtId="49" fontId="76" fillId="12" borderId="60" xfId="0" applyNumberFormat="1" applyFont="1" applyFill="1" applyBorder="1" applyAlignment="1">
      <alignment horizontal="center" shrinkToFit="1"/>
    </xf>
    <xf numFmtId="49" fontId="76" fillId="12" borderId="61" xfId="0" applyNumberFormat="1" applyFont="1" applyFill="1" applyBorder="1" applyAlignment="1">
      <alignment horizontal="center" shrinkToFit="1"/>
    </xf>
    <xf numFmtId="0" fontId="76" fillId="12" borderId="133" xfId="0" applyFont="1" applyFill="1" applyBorder="1" applyAlignment="1">
      <alignment horizontal="right"/>
    </xf>
    <xf numFmtId="0" fontId="76" fillId="12" borderId="134" xfId="0" applyFont="1" applyFill="1" applyBorder="1" applyAlignment="1">
      <alignment horizontal="right"/>
    </xf>
    <xf numFmtId="49" fontId="120" fillId="17" borderId="136" xfId="0" applyNumberFormat="1" applyFont="1" applyFill="1" applyBorder="1" applyAlignment="1">
      <alignment horizontal="center" shrinkToFit="1"/>
    </xf>
    <xf numFmtId="49" fontId="120" fillId="17" borderId="137" xfId="0" applyNumberFormat="1" applyFont="1" applyFill="1" applyBorder="1" applyAlignment="1">
      <alignment horizontal="center" shrinkToFit="1"/>
    </xf>
    <xf numFmtId="49" fontId="120" fillId="17" borderId="138" xfId="0" applyNumberFormat="1" applyFont="1" applyFill="1" applyBorder="1" applyAlignment="1">
      <alignment horizontal="center" shrinkToFit="1"/>
    </xf>
    <xf numFmtId="0" fontId="137" fillId="15" borderId="165" xfId="0" applyFont="1" applyFill="1" applyBorder="1" applyAlignment="1">
      <alignment horizontal="center" vertical="center"/>
    </xf>
    <xf numFmtId="0" fontId="137" fillId="15" borderId="126" xfId="0" applyFont="1" applyFill="1" applyBorder="1" applyAlignment="1">
      <alignment horizontal="center" vertical="center"/>
    </xf>
    <xf numFmtId="0" fontId="137" fillId="15" borderId="166" xfId="0" applyFont="1" applyFill="1" applyBorder="1" applyAlignment="1">
      <alignment horizontal="center" vertical="center"/>
    </xf>
    <xf numFmtId="0" fontId="128" fillId="15" borderId="170" xfId="0" applyFont="1" applyFill="1" applyBorder="1" applyAlignment="1">
      <alignment horizontal="center" vertical="center"/>
    </xf>
    <xf numFmtId="0" fontId="130" fillId="15" borderId="171" xfId="0" applyFont="1" applyFill="1" applyBorder="1"/>
    <xf numFmtId="0" fontId="130" fillId="15" borderId="172" xfId="0" applyFont="1" applyFill="1" applyBorder="1"/>
    <xf numFmtId="0" fontId="138" fillId="24" borderId="173" xfId="0" applyFont="1" applyFill="1" applyBorder="1" applyAlignment="1">
      <alignment horizontal="center" vertical="center" wrapText="1"/>
    </xf>
    <xf numFmtId="0" fontId="133" fillId="24" borderId="174" xfId="0" applyFont="1" applyFill="1" applyBorder="1" applyAlignment="1">
      <alignment vertical="center"/>
    </xf>
    <xf numFmtId="0" fontId="133" fillId="24" borderId="175" xfId="0" applyFont="1" applyFill="1" applyBorder="1" applyAlignment="1">
      <alignment vertical="center"/>
    </xf>
    <xf numFmtId="0" fontId="62" fillId="5" borderId="89" xfId="0" applyFont="1" applyFill="1" applyBorder="1" applyAlignment="1">
      <alignment horizontal="center"/>
    </xf>
    <xf numFmtId="0" fontId="62" fillId="5" borderId="90" xfId="0" applyFont="1" applyFill="1" applyBorder="1" applyAlignment="1">
      <alignment horizontal="center"/>
    </xf>
    <xf numFmtId="49" fontId="51" fillId="2" borderId="176" xfId="0" applyNumberFormat="1" applyFont="1" applyFill="1" applyBorder="1" applyAlignment="1" applyProtection="1">
      <alignment horizontal="left"/>
      <protection locked="0"/>
    </xf>
    <xf numFmtId="0" fontId="167" fillId="0" borderId="176" xfId="0" applyFont="1" applyBorder="1" applyAlignment="1">
      <alignment horizontal="left"/>
    </xf>
    <xf numFmtId="0" fontId="77" fillId="5" borderId="168" xfId="0" applyFont="1" applyFill="1" applyBorder="1" applyAlignment="1" applyProtection="1">
      <alignment horizontal="left" vertical="center"/>
      <protection locked="0"/>
    </xf>
    <xf numFmtId="0" fontId="132" fillId="23" borderId="92" xfId="0" applyFont="1" applyFill="1" applyBorder="1" applyAlignment="1">
      <alignment horizontal="center" vertical="center"/>
    </xf>
    <xf numFmtId="0" fontId="132" fillId="23" borderId="93" xfId="0" applyFont="1" applyFill="1" applyBorder="1" applyAlignment="1">
      <alignment horizontal="center" vertical="center"/>
    </xf>
    <xf numFmtId="0" fontId="132" fillId="23" borderId="94" xfId="0" applyFont="1" applyFill="1" applyBorder="1" applyAlignment="1">
      <alignment horizontal="center" vertical="center"/>
    </xf>
    <xf numFmtId="0" fontId="132" fillId="23" borderId="89" xfId="0" applyFont="1" applyFill="1" applyBorder="1" applyAlignment="1">
      <alignment horizontal="center" vertical="center"/>
    </xf>
    <xf numFmtId="0" fontId="132" fillId="23" borderId="90" xfId="0" applyFont="1" applyFill="1" applyBorder="1" applyAlignment="1">
      <alignment horizontal="center" vertical="center"/>
    </xf>
    <xf numFmtId="0" fontId="132" fillId="23" borderId="91" xfId="0" applyFont="1" applyFill="1" applyBorder="1" applyAlignment="1">
      <alignment horizontal="center" vertical="center"/>
    </xf>
    <xf numFmtId="0" fontId="127" fillId="15" borderId="165" xfId="0" applyFont="1" applyFill="1" applyBorder="1" applyAlignment="1">
      <alignment horizontal="center" vertical="center"/>
    </xf>
    <xf numFmtId="0" fontId="127" fillId="15" borderId="126" xfId="0" applyFont="1" applyFill="1" applyBorder="1" applyAlignment="1">
      <alignment horizontal="center" vertical="center"/>
    </xf>
    <xf numFmtId="0" fontId="127" fillId="15" borderId="166" xfId="0" applyFont="1" applyFill="1" applyBorder="1" applyAlignment="1">
      <alignment horizontal="center" vertical="center"/>
    </xf>
    <xf numFmtId="0" fontId="67" fillId="6" borderId="87" xfId="0" applyFont="1" applyFill="1" applyBorder="1" applyAlignment="1">
      <alignment horizontal="center" vertical="center"/>
    </xf>
    <xf numFmtId="0" fontId="67" fillId="6" borderId="0" xfId="0" applyFont="1" applyFill="1" applyAlignment="1">
      <alignment horizontal="center" vertical="center"/>
    </xf>
    <xf numFmtId="0" fontId="67" fillId="6" borderId="88" xfId="0" applyFont="1" applyFill="1" applyBorder="1" applyAlignment="1">
      <alignment horizontal="center" vertical="center"/>
    </xf>
    <xf numFmtId="0" fontId="58" fillId="6" borderId="87" xfId="0" applyFont="1" applyFill="1" applyBorder="1" applyAlignment="1">
      <alignment horizontal="center"/>
    </xf>
    <xf numFmtId="0" fontId="58" fillId="6" borderId="0" xfId="0" applyFont="1" applyFill="1" applyAlignment="1">
      <alignment horizontal="center"/>
    </xf>
    <xf numFmtId="0" fontId="58" fillId="6" borderId="88" xfId="0" applyFont="1" applyFill="1" applyBorder="1" applyAlignment="1">
      <alignment horizontal="center"/>
    </xf>
    <xf numFmtId="0" fontId="62" fillId="5" borderId="176" xfId="0" applyFont="1" applyFill="1" applyBorder="1" applyAlignment="1">
      <alignment horizontal="right"/>
    </xf>
    <xf numFmtId="0" fontId="58" fillId="6" borderId="87" xfId="0" applyFont="1" applyFill="1" applyBorder="1" applyAlignment="1">
      <alignment horizontal="center" vertical="center"/>
    </xf>
    <xf numFmtId="0" fontId="58" fillId="6" borderId="0" xfId="0" applyFont="1" applyFill="1" applyAlignment="1">
      <alignment horizontal="center" vertical="center"/>
    </xf>
    <xf numFmtId="0" fontId="58" fillId="6" borderId="88" xfId="0" applyFont="1" applyFill="1" applyBorder="1" applyAlignment="1">
      <alignment horizontal="center" vertical="center"/>
    </xf>
    <xf numFmtId="0" fontId="63" fillId="15" borderId="165" xfId="0" applyFont="1" applyFill="1" applyBorder="1" applyAlignment="1">
      <alignment horizontal="center" vertical="center"/>
    </xf>
    <xf numFmtId="0" fontId="63" fillId="15" borderId="126" xfId="0" applyFont="1" applyFill="1" applyBorder="1" applyAlignment="1">
      <alignment horizontal="center" vertical="center"/>
    </xf>
    <xf numFmtId="0" fontId="63" fillId="15" borderId="166" xfId="0" applyFont="1" applyFill="1" applyBorder="1" applyAlignment="1">
      <alignment horizontal="center" vertical="center"/>
    </xf>
    <xf numFmtId="0" fontId="74" fillId="0" borderId="87" xfId="0" applyFont="1" applyBorder="1" applyAlignment="1">
      <alignment horizontal="center"/>
    </xf>
    <xf numFmtId="0" fontId="74" fillId="0" borderId="0" xfId="0" applyFont="1" applyAlignment="1">
      <alignment horizontal="center"/>
    </xf>
    <xf numFmtId="0" fontId="74" fillId="0" borderId="88" xfId="0" applyFont="1" applyBorder="1" applyAlignment="1">
      <alignment horizontal="center"/>
    </xf>
    <xf numFmtId="0" fontId="40" fillId="0" borderId="0" xfId="1" applyFont="1" applyFill="1" applyBorder="1" applyAlignment="1" applyProtection="1">
      <alignment horizontal="center" vertical="center"/>
    </xf>
    <xf numFmtId="0" fontId="79" fillId="0" borderId="87" xfId="0" applyFont="1" applyBorder="1" applyAlignment="1">
      <alignment horizontal="center"/>
    </xf>
    <xf numFmtId="0" fontId="79" fillId="0" borderId="0" xfId="0" applyFont="1" applyAlignment="1">
      <alignment horizontal="center"/>
    </xf>
    <xf numFmtId="0" fontId="79" fillId="0" borderId="88" xfId="0" applyFont="1" applyBorder="1" applyAlignment="1">
      <alignment horizontal="center"/>
    </xf>
    <xf numFmtId="0" fontId="81" fillId="6" borderId="179" xfId="0" applyFont="1" applyFill="1" applyBorder="1" applyAlignment="1">
      <alignment horizontal="center"/>
    </xf>
    <xf numFmtId="0" fontId="81" fillId="6" borderId="128" xfId="0" applyFont="1" applyFill="1" applyBorder="1" applyAlignment="1">
      <alignment horizontal="center"/>
    </xf>
    <xf numFmtId="0" fontId="81" fillId="6" borderId="177" xfId="0" applyFont="1" applyFill="1" applyBorder="1" applyAlignment="1">
      <alignment horizontal="center"/>
    </xf>
    <xf numFmtId="0" fontId="69" fillId="6" borderId="87" xfId="0" applyFont="1" applyFill="1" applyBorder="1" applyAlignment="1">
      <alignment horizontal="center" vertical="center" readingOrder="1"/>
    </xf>
    <xf numFmtId="0" fontId="69" fillId="6" borderId="0" xfId="0" applyFont="1" applyFill="1" applyAlignment="1">
      <alignment horizontal="center" vertical="center" readingOrder="1"/>
    </xf>
    <xf numFmtId="0" fontId="69" fillId="6" borderId="88" xfId="0" applyFont="1" applyFill="1" applyBorder="1" applyAlignment="1">
      <alignment horizontal="center" vertical="center" readingOrder="1"/>
    </xf>
    <xf numFmtId="0" fontId="67" fillId="6" borderId="87" xfId="0" applyFont="1" applyFill="1" applyBorder="1" applyAlignment="1">
      <alignment horizontal="center" vertical="center" readingOrder="1"/>
    </xf>
    <xf numFmtId="0" fontId="67" fillId="6" borderId="0" xfId="0" applyFont="1" applyFill="1" applyAlignment="1">
      <alignment horizontal="center" vertical="center" readingOrder="1"/>
    </xf>
    <xf numFmtId="0" fontId="67" fillId="6" borderId="88" xfId="0" applyFont="1" applyFill="1" applyBorder="1" applyAlignment="1">
      <alignment horizontal="center" vertical="center" readingOrder="1"/>
    </xf>
    <xf numFmtId="0" fontId="78" fillId="6" borderId="87" xfId="0" applyFont="1" applyFill="1" applyBorder="1" applyAlignment="1">
      <alignment horizontal="center"/>
    </xf>
    <xf numFmtId="0" fontId="78" fillId="6" borderId="0" xfId="0" applyFont="1" applyFill="1" applyAlignment="1">
      <alignment horizontal="center"/>
    </xf>
    <xf numFmtId="0" fontId="78" fillId="6" borderId="88" xfId="0" applyFont="1" applyFill="1" applyBorder="1" applyAlignment="1">
      <alignment horizontal="center"/>
    </xf>
    <xf numFmtId="0" fontId="66" fillId="6" borderId="87" xfId="0" applyFont="1" applyFill="1" applyBorder="1" applyAlignment="1">
      <alignment horizontal="center" vertical="center"/>
    </xf>
    <xf numFmtId="0" fontId="66" fillId="6" borderId="0" xfId="0" applyFont="1" applyFill="1" applyAlignment="1">
      <alignment horizontal="center" vertical="center"/>
    </xf>
    <xf numFmtId="0" fontId="66" fillId="6" borderId="88" xfId="0" applyFont="1" applyFill="1" applyBorder="1" applyAlignment="1">
      <alignment horizontal="center" vertical="center"/>
    </xf>
    <xf numFmtId="0" fontId="53" fillId="8" borderId="102" xfId="0" applyFont="1" applyFill="1" applyBorder="1" applyAlignment="1">
      <alignment horizontal="center" vertical="center"/>
    </xf>
    <xf numFmtId="0" fontId="127" fillId="15" borderId="87" xfId="0" applyFont="1" applyFill="1" applyBorder="1" applyAlignment="1">
      <alignment horizontal="center" vertical="center"/>
    </xf>
    <xf numFmtId="0" fontId="127" fillId="15" borderId="0" xfId="0" applyFont="1" applyFill="1" applyAlignment="1">
      <alignment horizontal="center" vertical="center"/>
    </xf>
    <xf numFmtId="0" fontId="127" fillId="15" borderId="88" xfId="0" applyFont="1" applyFill="1" applyBorder="1" applyAlignment="1">
      <alignment horizontal="center" vertical="center"/>
    </xf>
    <xf numFmtId="0" fontId="53" fillId="6" borderId="10" xfId="0" applyFont="1" applyFill="1" applyBorder="1" applyAlignment="1">
      <alignment horizontal="center"/>
    </xf>
    <xf numFmtId="0" fontId="53" fillId="6" borderId="11" xfId="0" applyFont="1" applyFill="1" applyBorder="1" applyAlignment="1">
      <alignment horizontal="center"/>
    </xf>
    <xf numFmtId="0" fontId="53" fillId="6" borderId="12" xfId="0" applyFont="1" applyFill="1" applyBorder="1" applyAlignment="1">
      <alignment horizontal="center"/>
    </xf>
    <xf numFmtId="0" fontId="122" fillId="21" borderId="149" xfId="0" applyFont="1" applyFill="1" applyBorder="1" applyAlignment="1">
      <alignment horizontal="center" vertical="center"/>
    </xf>
    <xf numFmtId="0" fontId="122" fillId="21" borderId="150" xfId="0" applyFont="1" applyFill="1" applyBorder="1" applyAlignment="1">
      <alignment horizontal="center" vertical="center"/>
    </xf>
    <xf numFmtId="0" fontId="122" fillId="21" borderId="151" xfId="0" applyFont="1" applyFill="1" applyBorder="1" applyAlignment="1">
      <alignment horizontal="center" vertical="center"/>
    </xf>
    <xf numFmtId="0" fontId="122" fillId="22" borderId="146" xfId="0" applyFont="1" applyFill="1" applyBorder="1" applyAlignment="1">
      <alignment horizontal="center" vertical="center" shrinkToFit="1"/>
    </xf>
    <xf numFmtId="0" fontId="122" fillId="22" borderId="147" xfId="0" applyFont="1" applyFill="1" applyBorder="1" applyAlignment="1">
      <alignment horizontal="center" vertical="center" shrinkToFit="1"/>
    </xf>
    <xf numFmtId="10" fontId="53" fillId="8" borderId="15" xfId="0" applyNumberFormat="1" applyFont="1" applyFill="1" applyBorder="1" applyAlignment="1">
      <alignment horizontal="center" shrinkToFit="1"/>
    </xf>
    <xf numFmtId="10" fontId="53" fillId="8" borderId="0" xfId="0" applyNumberFormat="1" applyFont="1" applyFill="1" applyAlignment="1">
      <alignment horizontal="center" shrinkToFit="1"/>
    </xf>
    <xf numFmtId="10" fontId="53" fillId="8" borderId="1" xfId="0" applyNumberFormat="1" applyFont="1" applyFill="1" applyBorder="1" applyAlignment="1">
      <alignment horizontal="center" shrinkToFit="1"/>
    </xf>
    <xf numFmtId="1" fontId="109" fillId="8" borderId="17" xfId="0" applyNumberFormat="1" applyFont="1" applyFill="1" applyBorder="1" applyAlignment="1">
      <alignment horizontal="center" vertical="top"/>
    </xf>
    <xf numFmtId="1" fontId="109" fillId="8" borderId="14" xfId="0" applyNumberFormat="1" applyFont="1" applyFill="1" applyBorder="1" applyAlignment="1">
      <alignment horizontal="center" vertical="top"/>
    </xf>
    <xf numFmtId="1" fontId="109" fillId="8" borderId="19" xfId="0" applyNumberFormat="1" applyFont="1" applyFill="1" applyBorder="1" applyAlignment="1">
      <alignment horizontal="center" vertical="top"/>
    </xf>
    <xf numFmtId="1" fontId="109" fillId="8" borderId="17" xfId="0" applyNumberFormat="1" applyFont="1" applyFill="1" applyBorder="1" applyAlignment="1">
      <alignment horizontal="center"/>
    </xf>
    <xf numFmtId="1" fontId="109" fillId="8" borderId="14" xfId="0" applyNumberFormat="1" applyFont="1" applyFill="1" applyBorder="1" applyAlignment="1">
      <alignment horizontal="center"/>
    </xf>
    <xf numFmtId="1" fontId="109" fillId="8" borderId="19" xfId="0" applyNumberFormat="1" applyFont="1" applyFill="1" applyBorder="1" applyAlignment="1">
      <alignment horizontal="center"/>
    </xf>
    <xf numFmtId="10" fontId="56" fillId="8" borderId="15" xfId="0" applyNumberFormat="1" applyFont="1" applyFill="1" applyBorder="1" applyAlignment="1">
      <alignment horizontal="center" shrinkToFit="1"/>
    </xf>
    <xf numFmtId="10" fontId="56" fillId="8" borderId="0" xfId="0" applyNumberFormat="1" applyFont="1" applyFill="1" applyAlignment="1">
      <alignment horizontal="center" shrinkToFit="1"/>
    </xf>
    <xf numFmtId="10" fontId="56" fillId="8" borderId="1" xfId="0" applyNumberFormat="1" applyFont="1" applyFill="1" applyBorder="1" applyAlignment="1">
      <alignment horizontal="center" shrinkToFit="1"/>
    </xf>
    <xf numFmtId="0" fontId="86" fillId="25" borderId="181" xfId="0" applyFont="1" applyFill="1" applyBorder="1" applyAlignment="1">
      <alignment horizontal="center" vertical="center"/>
    </xf>
    <xf numFmtId="0" fontId="86" fillId="25" borderId="182" xfId="0" applyFont="1" applyFill="1" applyBorder="1" applyAlignment="1">
      <alignment horizontal="center" vertical="center"/>
    </xf>
    <xf numFmtId="0" fontId="86" fillId="25" borderId="183" xfId="0" applyFont="1" applyFill="1" applyBorder="1" applyAlignment="1">
      <alignment horizontal="center" vertical="center"/>
    </xf>
    <xf numFmtId="0" fontId="128" fillId="25" borderId="184" xfId="0" applyFont="1" applyFill="1" applyBorder="1" applyAlignment="1">
      <alignment horizontal="center" vertical="center"/>
    </xf>
    <xf numFmtId="0" fontId="128" fillId="25" borderId="185" xfId="0" applyFont="1" applyFill="1" applyBorder="1" applyAlignment="1">
      <alignment horizontal="center" vertical="center"/>
    </xf>
    <xf numFmtId="0" fontId="128" fillId="25" borderId="186" xfId="0" applyFont="1" applyFill="1" applyBorder="1" applyAlignment="1">
      <alignment horizontal="center" vertical="center"/>
    </xf>
    <xf numFmtId="0" fontId="128" fillId="25" borderId="187" xfId="0" applyFont="1" applyFill="1" applyBorder="1" applyAlignment="1">
      <alignment horizontal="center" vertical="center"/>
    </xf>
    <xf numFmtId="0" fontId="128" fillId="25" borderId="188" xfId="0" applyFont="1" applyFill="1" applyBorder="1" applyAlignment="1">
      <alignment horizontal="center" vertical="center"/>
    </xf>
    <xf numFmtId="0" fontId="128" fillId="25" borderId="189" xfId="0" applyFont="1" applyFill="1" applyBorder="1" applyAlignment="1">
      <alignment horizontal="center" vertical="center"/>
    </xf>
    <xf numFmtId="10" fontId="54" fillId="8" borderId="15" xfId="0" applyNumberFormat="1" applyFont="1" applyFill="1" applyBorder="1" applyAlignment="1">
      <alignment horizontal="center" shrinkToFit="1"/>
    </xf>
    <xf numFmtId="10" fontId="54" fillId="8" borderId="0" xfId="0" applyNumberFormat="1" applyFont="1" applyFill="1" applyAlignment="1">
      <alignment horizontal="center" shrinkToFit="1"/>
    </xf>
    <xf numFmtId="10" fontId="54" fillId="8" borderId="1" xfId="0" applyNumberFormat="1" applyFont="1" applyFill="1" applyBorder="1" applyAlignment="1">
      <alignment horizontal="center" shrinkToFit="1"/>
    </xf>
    <xf numFmtId="0" fontId="52" fillId="26" borderId="0" xfId="0" applyFont="1" applyFill="1" applyAlignment="1">
      <alignment horizontal="center" vertical="center"/>
    </xf>
    <xf numFmtId="49" fontId="168" fillId="15" borderId="123" xfId="0" applyNumberFormat="1" applyFont="1" applyFill="1" applyBorder="1" applyAlignment="1">
      <alignment horizontal="left" vertical="center"/>
    </xf>
    <xf numFmtId="49" fontId="168" fillId="15" borderId="124" xfId="0" applyNumberFormat="1" applyFont="1" applyFill="1" applyBorder="1" applyAlignment="1">
      <alignment horizontal="left" vertical="center"/>
    </xf>
    <xf numFmtId="0" fontId="89" fillId="15" borderId="123" xfId="0" applyFont="1" applyFill="1" applyBorder="1" applyAlignment="1">
      <alignment horizontal="right" vertical="center"/>
    </xf>
    <xf numFmtId="0" fontId="57" fillId="6" borderId="0" xfId="0" applyFont="1" applyFill="1" applyAlignment="1">
      <alignment horizontal="center"/>
    </xf>
    <xf numFmtId="49" fontId="114" fillId="15" borderId="125" xfId="0" applyNumberFormat="1" applyFont="1" applyFill="1" applyBorder="1" applyAlignment="1">
      <alignment horizontal="center" vertical="center"/>
    </xf>
    <xf numFmtId="49" fontId="114" fillId="15" borderId="126" xfId="0" applyNumberFormat="1" applyFont="1" applyFill="1" applyBorder="1" applyAlignment="1">
      <alignment horizontal="center" vertical="center"/>
    </xf>
    <xf numFmtId="0" fontId="49" fillId="21" borderId="131" xfId="0" applyFont="1" applyFill="1" applyBorder="1" applyAlignment="1">
      <alignment horizontal="center" vertical="center"/>
    </xf>
    <xf numFmtId="0" fontId="49" fillId="21" borderId="132" xfId="0" applyFont="1" applyFill="1" applyBorder="1" applyAlignment="1">
      <alignment horizontal="center" vertical="center"/>
    </xf>
    <xf numFmtId="0" fontId="49" fillId="14" borderId="57" xfId="0" applyFont="1" applyFill="1" applyBorder="1" applyAlignment="1">
      <alignment horizontal="center" vertical="center"/>
    </xf>
    <xf numFmtId="0" fontId="49" fillId="14" borderId="58" xfId="0" applyFont="1" applyFill="1" applyBorder="1" applyAlignment="1">
      <alignment horizontal="center" vertical="center"/>
    </xf>
    <xf numFmtId="49" fontId="124" fillId="15" borderId="123" xfId="0" applyNumberFormat="1" applyFont="1" applyFill="1" applyBorder="1" applyAlignment="1">
      <alignment horizontal="right" vertical="center"/>
    </xf>
    <xf numFmtId="0" fontId="141" fillId="2" borderId="15" xfId="0" applyFont="1" applyFill="1" applyBorder="1" applyAlignment="1">
      <alignment horizontal="right" vertical="center"/>
    </xf>
    <xf numFmtId="0" fontId="141" fillId="2" borderId="0" xfId="0" applyFont="1" applyFill="1" applyAlignment="1">
      <alignment horizontal="right" vertical="center"/>
    </xf>
    <xf numFmtId="0" fontId="98" fillId="19" borderId="24" xfId="0" applyFont="1" applyFill="1" applyBorder="1" applyAlignment="1">
      <alignment horizontal="center" vertical="center"/>
    </xf>
    <xf numFmtId="0" fontId="98" fillId="19" borderId="48" xfId="0" applyFont="1" applyFill="1" applyBorder="1" applyAlignment="1">
      <alignment horizontal="center" vertical="center"/>
    </xf>
    <xf numFmtId="0" fontId="98" fillId="2" borderId="59" xfId="0" applyFont="1" applyFill="1" applyBorder="1" applyAlignment="1">
      <alignment horizontal="right" vertical="center"/>
    </xf>
    <xf numFmtId="0" fontId="98" fillId="19" borderId="14" xfId="0" applyFont="1" applyFill="1" applyBorder="1" applyAlignment="1">
      <alignment horizontal="center" vertical="center"/>
    </xf>
    <xf numFmtId="0" fontId="98" fillId="2" borderId="14" xfId="0" applyFont="1" applyFill="1" applyBorder="1" applyAlignment="1">
      <alignment horizontal="right" vertical="center"/>
    </xf>
    <xf numFmtId="49" fontId="56" fillId="19" borderId="14" xfId="0" applyNumberFormat="1" applyFont="1" applyFill="1" applyBorder="1" applyAlignment="1">
      <alignment horizontal="center"/>
    </xf>
    <xf numFmtId="0" fontId="56" fillId="19" borderId="14" xfId="0" applyFont="1" applyFill="1" applyBorder="1" applyAlignment="1">
      <alignment horizontal="center"/>
    </xf>
    <xf numFmtId="0" fontId="54" fillId="2" borderId="16" xfId="0" applyFont="1" applyFill="1" applyBorder="1" applyAlignment="1">
      <alignment horizontal="right" vertical="center"/>
    </xf>
    <xf numFmtId="0" fontId="98" fillId="2" borderId="48" xfId="0" applyFont="1" applyFill="1" applyBorder="1" applyAlignment="1">
      <alignment horizontal="right" vertical="center"/>
    </xf>
    <xf numFmtId="0" fontId="56" fillId="2" borderId="0" xfId="0" applyFont="1" applyFill="1" applyAlignment="1">
      <alignment horizontal="right" vertical="center"/>
    </xf>
    <xf numFmtId="0" fontId="54" fillId="2" borderId="0" xfId="0" applyFont="1" applyFill="1" applyAlignment="1">
      <alignment horizontal="right" vertical="center"/>
    </xf>
    <xf numFmtId="0" fontId="98" fillId="2" borderId="15" xfId="0" applyFont="1" applyFill="1" applyBorder="1" applyAlignment="1">
      <alignment horizontal="right" vertical="center"/>
    </xf>
    <xf numFmtId="0" fontId="98" fillId="2" borderId="0" xfId="0" applyFont="1" applyFill="1" applyAlignment="1">
      <alignment horizontal="right" vertical="center"/>
    </xf>
    <xf numFmtId="0" fontId="166" fillId="19" borderId="14" xfId="0" applyFont="1" applyFill="1" applyBorder="1" applyAlignment="1">
      <alignment horizontal="center"/>
    </xf>
    <xf numFmtId="0" fontId="53" fillId="2" borderId="0" xfId="0" applyFont="1" applyFill="1" applyAlignment="1">
      <alignment horizontal="right" vertical="center"/>
    </xf>
    <xf numFmtId="0" fontId="98" fillId="2" borderId="14" xfId="0" applyFont="1" applyFill="1" applyBorder="1" applyAlignment="1">
      <alignment horizontal="center" vertical="center"/>
    </xf>
    <xf numFmtId="0" fontId="55" fillId="2" borderId="0" xfId="0" applyFont="1" applyFill="1" applyAlignment="1">
      <alignment horizontal="right" vertical="center"/>
    </xf>
    <xf numFmtId="49" fontId="88" fillId="15" borderId="123" xfId="0" applyNumberFormat="1" applyFont="1" applyFill="1" applyBorder="1" applyAlignment="1">
      <alignment horizontal="right" vertical="center"/>
    </xf>
    <xf numFmtId="0" fontId="166" fillId="19" borderId="14" xfId="0" applyFont="1" applyFill="1" applyBorder="1" applyAlignment="1">
      <alignment horizontal="left"/>
    </xf>
    <xf numFmtId="168" fontId="19" fillId="0" borderId="0" xfId="0" applyNumberFormat="1" applyFont="1" applyAlignment="1" applyProtection="1">
      <alignment horizontal="center"/>
      <protection locked="0"/>
    </xf>
  </cellXfs>
  <cellStyles count="2">
    <cellStyle name="Hipervínculo" xfId="1" builtinId="8"/>
    <cellStyle name="Normal" xfId="0" builtinId="0"/>
  </cellStyles>
  <dxfs count="26">
    <dxf>
      <font>
        <b/>
        <i val="0"/>
        <condense val="0"/>
        <extend val="0"/>
        <color indexed="9"/>
      </font>
      <fill>
        <patternFill>
          <bgColor indexed="23"/>
        </patternFill>
      </fill>
    </dxf>
    <dxf>
      <font>
        <b val="0"/>
        <i val="0"/>
        <condense val="0"/>
        <extend val="0"/>
        <color indexed="10"/>
      </font>
      <fill>
        <patternFill>
          <bgColor indexed="42"/>
        </patternFill>
      </fill>
    </dxf>
    <dxf>
      <font>
        <b val="0"/>
        <i val="0"/>
        <condense val="0"/>
        <extend val="0"/>
        <color indexed="10"/>
      </font>
      <fill>
        <patternFill>
          <bgColor theme="6" tint="0.79998168889431442"/>
        </patternFill>
      </fill>
    </dxf>
    <dxf>
      <font>
        <b val="0"/>
        <i val="0"/>
        <condense val="0"/>
        <extend val="0"/>
        <color indexed="10"/>
      </font>
      <fill>
        <patternFill>
          <bgColor indexed="13"/>
        </patternFill>
      </fill>
    </dxf>
    <dxf>
      <fill>
        <patternFill>
          <bgColor theme="0" tint="-4.9989318521683403E-2"/>
        </patternFill>
      </fill>
    </dxf>
    <dxf>
      <font>
        <b/>
        <i val="0"/>
        <color indexed="10"/>
      </font>
      <fill>
        <patternFill>
          <bgColor rgb="FFFFFF99"/>
        </patternFill>
      </fill>
    </dxf>
    <dxf>
      <font>
        <b val="0"/>
        <i val="0"/>
        <condense val="0"/>
        <extend val="0"/>
        <color indexed="10"/>
      </font>
      <fill>
        <patternFill>
          <bgColor rgb="FFFFFF99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b/>
        <i val="0"/>
        <color indexed="10"/>
      </font>
      <fill>
        <patternFill>
          <bgColor rgb="FFFFFF99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ill>
        <patternFill>
          <bgColor theme="0" tint="-4.9989318521683403E-2"/>
        </patternFill>
      </fill>
    </dxf>
    <dxf>
      <font>
        <b val="0"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lor indexed="10"/>
      </font>
      <fill>
        <patternFill>
          <bgColor rgb="FFFFFF99"/>
        </patternFill>
      </fill>
    </dxf>
    <dxf>
      <font>
        <b val="0"/>
        <i val="0"/>
        <condense val="0"/>
        <extend val="0"/>
        <color indexed="10"/>
      </font>
      <fill>
        <patternFill>
          <bgColor indexed="9"/>
        </patternFill>
      </fill>
    </dxf>
    <dxf>
      <font>
        <b val="0"/>
        <i val="0"/>
        <condense val="0"/>
        <extend val="0"/>
        <color indexed="10"/>
      </font>
      <fill>
        <patternFill>
          <bgColor indexed="9"/>
        </patternFill>
      </fill>
    </dxf>
    <dxf>
      <font>
        <b val="0"/>
        <i val="0"/>
        <condense val="0"/>
        <extend val="0"/>
        <color indexed="10"/>
      </font>
      <fill>
        <patternFill>
          <bgColor indexed="9"/>
        </patternFill>
      </fill>
    </dxf>
    <dxf>
      <font>
        <b val="0"/>
        <i val="0"/>
        <condense val="0"/>
        <extend val="0"/>
        <color indexed="10"/>
      </font>
      <fill>
        <patternFill patternType="solid">
          <bgColor indexed="9"/>
        </patternFill>
      </fill>
    </dxf>
    <dxf>
      <font>
        <b val="0"/>
        <i val="0"/>
        <condense val="0"/>
        <extend val="0"/>
        <color indexed="10"/>
      </font>
      <fill>
        <patternFill>
          <bgColor indexed="9"/>
        </patternFill>
      </fill>
    </dxf>
    <dxf>
      <font>
        <b val="0"/>
        <i val="0"/>
        <condense val="0"/>
        <extend val="0"/>
        <color indexed="10"/>
      </font>
      <fill>
        <patternFill>
          <bgColor indexed="42"/>
        </patternFill>
      </fill>
    </dxf>
    <dxf>
      <font>
        <b/>
        <i val="0"/>
        <condense val="0"/>
        <extend val="0"/>
        <color indexed="9"/>
      </font>
      <fill>
        <patternFill>
          <bgColor indexed="23"/>
        </patternFill>
      </fill>
    </dxf>
    <dxf>
      <numFmt numFmtId="1" formatCode="0"/>
      <alignment horizontal="center" vertical="bottom" textRotation="0" wrapText="0" relativeIndent="0" justifyLastLine="0" shrinkToFit="0" readingOrder="0"/>
    </dxf>
    <dxf>
      <alignment horizontal="center" vertical="bottom" textRotation="0" wrapText="0" relative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colors>
    <mruColors>
      <color rgb="FF996633"/>
      <color rgb="FFFFFF99"/>
      <color rgb="FFFFFFCC"/>
      <color rgb="FF663300"/>
      <color rgb="FF000080"/>
      <color rgb="FFFFCCCC"/>
      <color rgb="FFFFFFFF"/>
      <color rgb="FFCCFFCC"/>
      <color rgb="FF99FF99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s-E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ACTIVO</a:t>
            </a:r>
          </a:p>
        </c:rich>
      </c:tx>
      <c:layout>
        <c:manualLayout>
          <c:xMode val="edge"/>
          <c:yMode val="edge"/>
          <c:x val="0.34150297002348401"/>
          <c:y val="3.8413508858267734E-2"/>
        </c:manualLayout>
      </c:layout>
      <c:overlay val="0"/>
      <c:spPr>
        <a:noFill/>
        <a:ln w="9525"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  <a:scene3d>
          <a:camera prst="orthographicFront"/>
          <a:lightRig rig="threePt" dir="t"/>
        </a:scene3d>
        <a:sp3d>
          <a:bevelT prst="relaxedInset"/>
        </a:sp3d>
      </c:spPr>
    </c:title>
    <c:autoTitleDeleted val="0"/>
    <c:plotArea>
      <c:layout>
        <c:manualLayout>
          <c:layoutTarget val="inner"/>
          <c:xMode val="edge"/>
          <c:yMode val="edge"/>
          <c:x val="4.1666836209457235E-2"/>
          <c:y val="9.865729964117384E-2"/>
          <c:w val="0.92917044747090005"/>
          <c:h val="0.68620847687007891"/>
        </c:manualLayout>
      </c:layout>
      <c:barChart>
        <c:barDir val="col"/>
        <c:grouping val="stacked"/>
        <c:varyColors val="0"/>
        <c:ser>
          <c:idx val="1"/>
          <c:order val="0"/>
          <c:tx>
            <c:v>FIJO</c:v>
          </c:tx>
          <c:spPr>
            <a:solidFill>
              <a:srgbClr val="808080"/>
            </a:solidFill>
            <a:ln w="12700">
              <a:noFill/>
              <a:prstDash val="solid"/>
            </a:ln>
            <a:effectLst/>
          </c:spPr>
          <c:invertIfNegative val="0"/>
          <c:val>
            <c:numRef>
              <c:f>Análisis!$F$9</c:f>
              <c:numCache>
                <c:formatCode>#,##0</c:formatCode>
                <c:ptCount val="1"/>
                <c:pt idx="0">
                  <c:v>61147.98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0-4FCC-AEC1-924081C7726C}"/>
            </c:ext>
          </c:extLst>
        </c:ser>
        <c:ser>
          <c:idx val="0"/>
          <c:order val="1"/>
          <c:tx>
            <c:v>STOCK</c:v>
          </c:tx>
          <c:spPr>
            <a:solidFill>
              <a:srgbClr val="00CC00"/>
            </a:solidFill>
            <a:ln w="12700">
              <a:noFill/>
              <a:prstDash val="solid"/>
            </a:ln>
            <a:effectLst/>
          </c:spPr>
          <c:invertIfNegative val="0"/>
          <c:val>
            <c:numRef>
              <c:f>Análisis!$F$11</c:f>
              <c:numCache>
                <c:formatCode>#,##0</c:formatCode>
                <c:ptCount val="1"/>
                <c:pt idx="0">
                  <c:v>117928.7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50-4FCC-AEC1-924081C7726C}"/>
            </c:ext>
          </c:extLst>
        </c:ser>
        <c:ser>
          <c:idx val="2"/>
          <c:order val="2"/>
          <c:tx>
            <c:v>REALIZ.</c:v>
          </c:tx>
          <c:spPr>
            <a:solidFill>
              <a:srgbClr val="66FF66"/>
            </a:solidFill>
            <a:ln w="12700">
              <a:noFill/>
              <a:prstDash val="solid"/>
            </a:ln>
            <a:effectLst/>
          </c:spPr>
          <c:invertIfNegative val="0"/>
          <c:val>
            <c:numRef>
              <c:f>Análisis!$F$12</c:f>
              <c:numCache>
                <c:formatCode>#,##0</c:formatCode>
                <c:ptCount val="1"/>
                <c:pt idx="0">
                  <c:v>149693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50-4FCC-AEC1-924081C7726C}"/>
            </c:ext>
          </c:extLst>
        </c:ser>
        <c:ser>
          <c:idx val="3"/>
          <c:order val="3"/>
          <c:tx>
            <c:v>DISPON.</c:v>
          </c:tx>
          <c:spPr>
            <a:solidFill>
              <a:srgbClr val="66FF99"/>
            </a:solidFill>
            <a:ln w="12700">
              <a:noFill/>
              <a:prstDash val="solid"/>
            </a:ln>
            <a:effectLst/>
          </c:spPr>
          <c:invertIfNegative val="0"/>
          <c:val>
            <c:numRef>
              <c:f>Análisis!$F$13</c:f>
              <c:numCache>
                <c:formatCode>#,##0</c:formatCode>
                <c:ptCount val="1"/>
                <c:pt idx="0">
                  <c:v>24747.03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50-4FCC-AEC1-924081C77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87149312"/>
        <c:axId val="187155584"/>
      </c:barChart>
      <c:catAx>
        <c:axId val="187149312"/>
        <c:scaling>
          <c:orientation val="minMax"/>
        </c:scaling>
        <c:delete val="1"/>
        <c:axPos val="b"/>
        <c:majorTickMark val="out"/>
        <c:minorTickMark val="none"/>
        <c:tickLblPos val="none"/>
        <c:crossAx val="187155584"/>
        <c:crosses val="autoZero"/>
        <c:auto val="1"/>
        <c:lblAlgn val="ctr"/>
        <c:lblOffset val="100"/>
        <c:noMultiLvlLbl val="0"/>
      </c:catAx>
      <c:valAx>
        <c:axId val="187155584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one"/>
        <c:crossAx val="187149312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8.3656582400884152E-2"/>
          <c:y val="0.83248462106299193"/>
          <c:w val="0.78768844683888228"/>
          <c:h val="0.1140508120078739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00">
              <a:solidFill>
                <a:schemeClr val="bg1">
                  <a:lumMod val="50000"/>
                </a:schemeClr>
              </a:solidFill>
            </a:defRPr>
          </a:pPr>
          <a:endParaRPr lang="es-E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100" b="0" i="0" u="none" strike="noStrike" baseline="0">
          <a:solidFill>
            <a:srgbClr val="C0C0C0"/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chemeClr val="tx1">
                    <a:lumMod val="65000"/>
                    <a:lumOff val="35000"/>
                  </a:schemeClr>
                </a:solidFill>
              </a:defRPr>
            </a:pPr>
            <a:r>
              <a:rPr lang="es-ES" sz="1800" b="1">
                <a:solidFill>
                  <a:schemeClr val="tx1">
                    <a:lumMod val="65000"/>
                    <a:lumOff val="35000"/>
                  </a:schemeClr>
                </a:solidFill>
              </a:rPr>
              <a:t>PN y PASIVO</a:t>
            </a:r>
          </a:p>
        </c:rich>
      </c:tx>
      <c:layout>
        <c:manualLayout>
          <c:xMode val="edge"/>
          <c:yMode val="edge"/>
          <c:x val="0.19406406585540453"/>
          <c:y val="3.61089506668809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2.0920502092050198E-2"/>
          <c:y val="9.9868140126735797E-2"/>
          <c:w val="0.95815899581589969"/>
          <c:h val="0.71760115699823268"/>
        </c:manualLayout>
      </c:layout>
      <c:barChart>
        <c:barDir val="col"/>
        <c:grouping val="stacked"/>
        <c:varyColors val="0"/>
        <c:ser>
          <c:idx val="1"/>
          <c:order val="0"/>
          <c:tx>
            <c:v>P. NETO</c:v>
          </c:tx>
          <c:spPr>
            <a:solidFill>
              <a:srgbClr val="333333"/>
            </a:solidFill>
            <a:ln w="12700">
              <a:noFill/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808080"/>
              </a:solidFill>
              <a:ln w="12700">
                <a:noFill/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96-4F04-83FA-2A317431D5BF}"/>
              </c:ext>
            </c:extLst>
          </c:dPt>
          <c:val>
            <c:numRef>
              <c:f>Análisis!$F$17</c:f>
              <c:numCache>
                <c:formatCode>#,##0</c:formatCode>
                <c:ptCount val="1"/>
                <c:pt idx="0">
                  <c:v>113234.22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96-4F04-83FA-2A317431D5BF}"/>
            </c:ext>
          </c:extLst>
        </c:ser>
        <c:ser>
          <c:idx val="2"/>
          <c:order val="1"/>
          <c:tx>
            <c:v>LARGO</c:v>
          </c:tx>
          <c:spPr>
            <a:solidFill>
              <a:schemeClr val="bg1">
                <a:lumMod val="65000"/>
              </a:schemeClr>
            </a:solidFill>
            <a:ln w="12700">
              <a:noFill/>
              <a:prstDash val="solid"/>
            </a:ln>
            <a:effectLst/>
          </c:spPr>
          <c:invertIfNegative val="0"/>
          <c:val>
            <c:numRef>
              <c:f>Análisis!$F$18</c:f>
              <c:numCache>
                <c:formatCode>#,##0</c:formatCode>
                <c:ptCount val="1"/>
                <c:pt idx="0">
                  <c:v>46257.020000000004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96-4F04-83FA-2A317431D5BF}"/>
            </c:ext>
          </c:extLst>
        </c:ser>
        <c:ser>
          <c:idx val="3"/>
          <c:order val="2"/>
          <c:tx>
            <c:v>CORTO</c:v>
          </c:tx>
          <c:spPr>
            <a:solidFill>
              <a:srgbClr val="66FF99"/>
            </a:solidFill>
            <a:ln w="12700">
              <a:noFill/>
              <a:prstDash val="solid"/>
            </a:ln>
            <a:effectLst/>
          </c:spPr>
          <c:invertIfNegative val="0"/>
          <c:val>
            <c:numRef>
              <c:f>Análisis!$F$19</c:f>
              <c:numCache>
                <c:formatCode>#,##0</c:formatCode>
                <c:ptCount val="1"/>
                <c:pt idx="0">
                  <c:v>194025.47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96-4F04-83FA-2A317431D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91181184"/>
        <c:axId val="191182720"/>
      </c:barChart>
      <c:catAx>
        <c:axId val="191181184"/>
        <c:scaling>
          <c:orientation val="minMax"/>
        </c:scaling>
        <c:delete val="1"/>
        <c:axPos val="b"/>
        <c:majorTickMark val="out"/>
        <c:minorTickMark val="none"/>
        <c:tickLblPos val="none"/>
        <c:crossAx val="191182720"/>
        <c:crosses val="autoZero"/>
        <c:auto val="1"/>
        <c:lblAlgn val="ctr"/>
        <c:lblOffset val="100"/>
        <c:noMultiLvlLbl val="0"/>
      </c:catAx>
      <c:valAx>
        <c:axId val="191182720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one"/>
        <c:crossAx val="191181184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9.2050194013932704E-2"/>
          <c:y val="0.91856829998160783"/>
          <c:w val="0.80334728033472802"/>
          <c:h val="5.4676095424377694E-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/>
            </a:pPr>
            <a:r>
              <a:rPr lang="es-ES" sz="1600" b="1"/>
              <a:t>ACTIVO</a:t>
            </a:r>
          </a:p>
        </c:rich>
      </c:tx>
      <c:layout>
        <c:manualLayout>
          <c:xMode val="edge"/>
          <c:yMode val="edge"/>
          <c:x val="0.4282684348666943"/>
          <c:y val="2.3474178403755886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88512225445498"/>
          <c:y val="0.14436619718309959"/>
          <c:w val="0.80438313135386352"/>
          <c:h val="0.6373239436619726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'R1'!$E$9:$G$9</c:f>
              <c:strCache>
                <c:ptCount val="3"/>
                <c:pt idx="0">
                  <c:v>Activo FIJO</c:v>
                </c:pt>
              </c:strCache>
            </c:strRef>
          </c:tx>
          <c:spPr>
            <a:solidFill>
              <a:srgbClr val="808080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'R1'!$I$6:$M$6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'R1'!$I$9:$M$9</c:f>
              <c:numCache>
                <c:formatCode>#,##0</c:formatCode>
                <c:ptCount val="5"/>
                <c:pt idx="0">
                  <c:v>0</c:v>
                </c:pt>
                <c:pt idx="1">
                  <c:v>488501.60000000003</c:v>
                </c:pt>
                <c:pt idx="2">
                  <c:v>390976.57999999996</c:v>
                </c:pt>
                <c:pt idx="3">
                  <c:v>146052.87</c:v>
                </c:pt>
                <c:pt idx="4">
                  <c:v>61147.98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4-449E-863F-AA76C4CDD4FE}"/>
            </c:ext>
          </c:extLst>
        </c:ser>
        <c:ser>
          <c:idx val="0"/>
          <c:order val="1"/>
          <c:tx>
            <c:strRef>
              <c:f>'R1'!$E$12:$G$12</c:f>
              <c:strCache>
                <c:ptCount val="3"/>
                <c:pt idx="0">
                  <c:v>Existencias</c:v>
                </c:pt>
              </c:strCache>
            </c:strRef>
          </c:tx>
          <c:spPr>
            <a:solidFill>
              <a:srgbClr val="33CC33"/>
            </a:solidFill>
            <a:ln w="12700">
              <a:solidFill>
                <a:srgbClr val="00800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'R1'!$I$6:$M$6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'R1'!$I$12:$M$12</c:f>
              <c:numCache>
                <c:formatCode>#,##0</c:formatCode>
                <c:ptCount val="5"/>
                <c:pt idx="0">
                  <c:v>0</c:v>
                </c:pt>
                <c:pt idx="1">
                  <c:v>241085.05</c:v>
                </c:pt>
                <c:pt idx="2">
                  <c:v>180801.13</c:v>
                </c:pt>
                <c:pt idx="3">
                  <c:v>171516.07</c:v>
                </c:pt>
                <c:pt idx="4">
                  <c:v>117928.7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24-449E-863F-AA76C4CDD4FE}"/>
            </c:ext>
          </c:extLst>
        </c:ser>
        <c:ser>
          <c:idx val="2"/>
          <c:order val="2"/>
          <c:tx>
            <c:strRef>
              <c:f>'R1'!$E$14:$G$14</c:f>
              <c:strCache>
                <c:ptCount val="3"/>
                <c:pt idx="0">
                  <c:v>Realizable</c:v>
                </c:pt>
              </c:strCache>
            </c:strRef>
          </c:tx>
          <c:spPr>
            <a:solidFill>
              <a:srgbClr val="66FF66"/>
            </a:solidFill>
            <a:ln w="12700">
              <a:solidFill>
                <a:srgbClr val="99CC0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'R1'!$I$6:$M$6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'R1'!$I$14:$M$14</c:f>
              <c:numCache>
                <c:formatCode>#,##0</c:formatCode>
                <c:ptCount val="5"/>
                <c:pt idx="0">
                  <c:v>0</c:v>
                </c:pt>
                <c:pt idx="1">
                  <c:v>529680.41</c:v>
                </c:pt>
                <c:pt idx="2">
                  <c:v>319077.91000000003</c:v>
                </c:pt>
                <c:pt idx="3">
                  <c:v>237479.15</c:v>
                </c:pt>
                <c:pt idx="4">
                  <c:v>149693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24-449E-863F-AA76C4CDD4FE}"/>
            </c:ext>
          </c:extLst>
        </c:ser>
        <c:ser>
          <c:idx val="3"/>
          <c:order val="3"/>
          <c:tx>
            <c:strRef>
              <c:f>'R1'!$E$16:$G$16</c:f>
              <c:strCache>
                <c:ptCount val="3"/>
                <c:pt idx="0">
                  <c:v>Disponible</c:v>
                </c:pt>
              </c:strCache>
            </c:strRef>
          </c:tx>
          <c:spPr>
            <a:solidFill>
              <a:srgbClr val="66FF99"/>
            </a:solidFill>
            <a:ln w="12700">
              <a:solidFill>
                <a:srgbClr val="00FF0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'R1'!$I$6:$M$6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'R1'!$I$16:$M$16</c:f>
              <c:numCache>
                <c:formatCode>#,##0</c:formatCode>
                <c:ptCount val="5"/>
                <c:pt idx="0">
                  <c:v>0</c:v>
                </c:pt>
                <c:pt idx="1">
                  <c:v>72698.13</c:v>
                </c:pt>
                <c:pt idx="2">
                  <c:v>81682.25</c:v>
                </c:pt>
                <c:pt idx="3">
                  <c:v>71215.009999999995</c:v>
                </c:pt>
                <c:pt idx="4">
                  <c:v>24747.03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24-449E-863F-AA76C4CDD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20258688"/>
        <c:axId val="220260608"/>
      </c:barChart>
      <c:catAx>
        <c:axId val="220258688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low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2202606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2026060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low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220258688"/>
        <c:crosses val="autoZero"/>
        <c:crossBetween val="between"/>
        <c:dispUnits>
          <c:builtInUnit val="thousands"/>
          <c:dispUnitsLbl/>
        </c:dispUnits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0474181293376066"/>
          <c:y val="0.89788732394366033"/>
          <c:w val="0.81056943353778899"/>
          <c:h val="6.1032863849765334E-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 b="1"/>
            </a:pPr>
            <a:r>
              <a:rPr lang="es-ES" sz="1600" b="1"/>
              <a:t>PATRIMONIO NETO y PASIVO</a:t>
            </a:r>
          </a:p>
        </c:rich>
      </c:tx>
      <c:layout>
        <c:manualLayout>
          <c:xMode val="edge"/>
          <c:yMode val="edge"/>
          <c:x val="0.19917864476386038"/>
          <c:y val="3.76284458222538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09977234278075"/>
          <c:y val="0.1676176222991301"/>
          <c:w val="0.83546523528060324"/>
          <c:h val="0.60547590095808568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'R1'!$E$22:$G$22</c:f>
              <c:strCache>
                <c:ptCount val="3"/>
                <c:pt idx="0">
                  <c:v>PATRIMONIO NETO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'R1'!$I$6:$M$6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'R1'!$I$22:$M$22</c:f>
              <c:numCache>
                <c:formatCode>#,##0</c:formatCode>
                <c:ptCount val="5"/>
                <c:pt idx="0">
                  <c:v>0</c:v>
                </c:pt>
                <c:pt idx="1">
                  <c:v>480121.58</c:v>
                </c:pt>
                <c:pt idx="2">
                  <c:v>312289.69</c:v>
                </c:pt>
                <c:pt idx="3">
                  <c:v>169493.1</c:v>
                </c:pt>
                <c:pt idx="4">
                  <c:v>113234.22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7F-4B3C-BC99-EFF3A907D0C5}"/>
            </c:ext>
          </c:extLst>
        </c:ser>
        <c:ser>
          <c:idx val="0"/>
          <c:order val="1"/>
          <c:tx>
            <c:strRef>
              <c:f>'R1'!$E$26:$G$26</c:f>
              <c:strCache>
                <c:ptCount val="3"/>
                <c:pt idx="0">
                  <c:v>Pasivo LARGO PLAZO</c:v>
                </c:pt>
              </c:strCache>
            </c:strRef>
          </c:tx>
          <c:spPr>
            <a:solidFill>
              <a:srgbClr val="969696"/>
            </a:solidFill>
            <a:ln w="12700">
              <a:solidFill>
                <a:srgbClr val="969696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'R1'!$I$6:$M$6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'R1'!$I$26:$M$26</c:f>
              <c:numCache>
                <c:formatCode>#,##0</c:formatCode>
                <c:ptCount val="5"/>
                <c:pt idx="0">
                  <c:v>0</c:v>
                </c:pt>
                <c:pt idx="1">
                  <c:v>251229</c:v>
                </c:pt>
                <c:pt idx="2">
                  <c:v>268227.99</c:v>
                </c:pt>
                <c:pt idx="3">
                  <c:v>119104.82</c:v>
                </c:pt>
                <c:pt idx="4">
                  <c:v>46257.020000000004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7F-4B3C-BC99-EFF3A907D0C5}"/>
            </c:ext>
          </c:extLst>
        </c:ser>
        <c:ser>
          <c:idx val="2"/>
          <c:order val="2"/>
          <c:tx>
            <c:strRef>
              <c:f>'R1'!$E$28:$G$28</c:f>
              <c:strCache>
                <c:ptCount val="3"/>
                <c:pt idx="0">
                  <c:v>Pasivo CORTO PLAZO</c:v>
                </c:pt>
              </c:strCache>
            </c:strRef>
          </c:tx>
          <c:spPr>
            <a:solidFill>
              <a:srgbClr val="66FF99"/>
            </a:solidFill>
            <a:ln w="12700">
              <a:solidFill>
                <a:srgbClr val="00FF0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'R1'!$I$6:$M$6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'R1'!$I$28:$M$28</c:f>
              <c:numCache>
                <c:formatCode>#,##0</c:formatCode>
                <c:ptCount val="5"/>
                <c:pt idx="0">
                  <c:v>0</c:v>
                </c:pt>
                <c:pt idx="1">
                  <c:v>600614.61</c:v>
                </c:pt>
                <c:pt idx="2">
                  <c:v>392020.19</c:v>
                </c:pt>
                <c:pt idx="3">
                  <c:v>337683.18</c:v>
                </c:pt>
                <c:pt idx="4">
                  <c:v>194025.47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7F-4B3C-BC99-EFF3A907D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12842240"/>
        <c:axId val="112843776"/>
      </c:barChart>
      <c:catAx>
        <c:axId val="112842240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low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12843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2843776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low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12842240"/>
        <c:crosses val="autoZero"/>
        <c:crossBetween val="between"/>
        <c:dispUnits>
          <c:builtInUnit val="thousands"/>
          <c:dispUnitsLbl/>
        </c:dispUnits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1067858560120303"/>
          <c:y val="0.88367238341782617"/>
          <c:w val="0.8291798074312331"/>
          <c:h val="8.209842724855351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800"/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s-ES" sz="1400" b="1"/>
              <a:t>LIQUIDEZ </a:t>
            </a:r>
          </a:p>
        </c:rich>
      </c:tx>
      <c:layout>
        <c:manualLayout>
          <c:xMode val="edge"/>
          <c:yMode val="edge"/>
          <c:x val="0.42036069494112405"/>
          <c:y val="1.077882786554058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51879193492778"/>
          <c:y val="0.13823421008544151"/>
          <c:w val="0.82701561802262169"/>
          <c:h val="0.62426497689040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'R2'!$E$15:$G$15</c:f>
              <c:strCache>
                <c:ptCount val="3"/>
                <c:pt idx="0">
                  <c:v>Liquidez</c:v>
                </c:pt>
              </c:strCache>
            </c:strRef>
          </c:tx>
          <c:spPr>
            <a:solidFill>
              <a:srgbClr val="33CC33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'R2'!$I$41:$M$41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'R2'!$I$15:$M$15</c:f>
              <c:numCache>
                <c:formatCode>#,##0.00</c:formatCode>
                <c:ptCount val="5"/>
                <c:pt idx="0">
                  <c:v>0</c:v>
                </c:pt>
                <c:pt idx="1">
                  <c:v>1.4043341203438258</c:v>
                </c:pt>
                <c:pt idx="2">
                  <c:v>1.483498311655836</c:v>
                </c:pt>
                <c:pt idx="3">
                  <c:v>1.4220732877485931</c:v>
                </c:pt>
                <c:pt idx="4">
                  <c:v>1.5068574759798288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8-47E3-9C31-807212006C9B}"/>
            </c:ext>
          </c:extLst>
        </c:ser>
        <c:ser>
          <c:idx val="1"/>
          <c:order val="1"/>
          <c:tx>
            <c:strRef>
              <c:f>'R2'!$E$16:$G$16</c:f>
              <c:strCache>
                <c:ptCount val="3"/>
                <c:pt idx="0">
                  <c:v>Tesorería (Acid Test)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'R2'!$I$41:$M$41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'R2'!$I$16:$M$16</c:f>
              <c:numCache>
                <c:formatCode>#,##0.00</c:formatCode>
                <c:ptCount val="5"/>
                <c:pt idx="0">
                  <c:v>0</c:v>
                </c:pt>
                <c:pt idx="1">
                  <c:v>1.002936874945483</c:v>
                </c:pt>
                <c:pt idx="2">
                  <c:v>1.0222946935462687</c:v>
                </c:pt>
                <c:pt idx="3">
                  <c:v>0.91415320123436405</c:v>
                </c:pt>
                <c:pt idx="4">
                  <c:v>0.89905737633311744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B8-47E3-9C31-807212006C9B}"/>
            </c:ext>
          </c:extLst>
        </c:ser>
        <c:ser>
          <c:idx val="2"/>
          <c:order val="2"/>
          <c:tx>
            <c:strRef>
              <c:f>'R2'!$E$17:$G$17</c:f>
              <c:strCache>
                <c:ptCount val="3"/>
                <c:pt idx="0">
                  <c:v>Disponibilidad</c:v>
                </c:pt>
              </c:strCache>
            </c:strRef>
          </c:tx>
          <c:spPr>
            <a:solidFill>
              <a:srgbClr val="99FF66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'R2'!$I$41:$M$41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'R2'!$I$17:$M$17</c:f>
              <c:numCache>
                <c:formatCode>#,##0.00</c:formatCode>
                <c:ptCount val="5"/>
                <c:pt idx="0">
                  <c:v>0</c:v>
                </c:pt>
                <c:pt idx="1">
                  <c:v>0.12103956312351444</c:v>
                </c:pt>
                <c:pt idx="2">
                  <c:v>0.20836235501033759</c:v>
                </c:pt>
                <c:pt idx="3">
                  <c:v>0.21089297370393159</c:v>
                </c:pt>
                <c:pt idx="4">
                  <c:v>0.12754526506236527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B8-47E3-9C31-807212006C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30"/>
        <c:axId val="113534080"/>
        <c:axId val="113535616"/>
      </c:barChart>
      <c:catAx>
        <c:axId val="113534080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1353561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3535616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13534080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3645098382802659"/>
          <c:y val="0.86856878184344577"/>
          <c:w val="0.77922242631905303"/>
          <c:h val="9.7959183673469397E-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75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s-ES" sz="1400" b="1"/>
              <a:t>ENDEUDAMIENTO</a:t>
            </a:r>
          </a:p>
        </c:rich>
      </c:tx>
      <c:layout>
        <c:manualLayout>
          <c:xMode val="edge"/>
          <c:yMode val="edge"/>
          <c:x val="0.34839473862328812"/>
          <c:y val="2.307692307692309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63079254563588"/>
          <c:y val="0.15384615384615394"/>
          <c:w val="0.86393179663434061"/>
          <c:h val="0.664102564102564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'R2'!$E$23:$G$23</c:f>
              <c:strCache>
                <c:ptCount val="3"/>
                <c:pt idx="0">
                  <c:v>Endeudamiento Corto Plazo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('R2'!$I$41,'R2'!$J$41,'R2'!$K$41,'R2'!$L$41,'R2'!$M$41)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'R2'!$I$23:$M$23</c:f>
              <c:numCache>
                <c:formatCode>#,##0.00</c:formatCode>
                <c:ptCount val="5"/>
                <c:pt idx="0">
                  <c:v>0</c:v>
                </c:pt>
                <c:pt idx="1">
                  <c:v>1.2509635788501736</c:v>
                </c:pt>
                <c:pt idx="2">
                  <c:v>1.2553094211979909</c:v>
                </c:pt>
                <c:pt idx="3">
                  <c:v>1.9923122534191657</c:v>
                </c:pt>
                <c:pt idx="4">
                  <c:v>1.7134879367738833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4B-4604-B0BB-A81BC6A8E739}"/>
            </c:ext>
          </c:extLst>
        </c:ser>
        <c:ser>
          <c:idx val="1"/>
          <c:order val="1"/>
          <c:tx>
            <c:strRef>
              <c:f>'R2'!$E$22:$G$22</c:f>
              <c:strCache>
                <c:ptCount val="3"/>
                <c:pt idx="0">
                  <c:v>Endeudamiento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('R2'!$I$41,'R2'!$J$41,'R2'!$K$41,'R2'!$L$41,'R2'!$M$41)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'R2'!$I$22:$M$22</c:f>
              <c:numCache>
                <c:formatCode>#,##0.00</c:formatCode>
                <c:ptCount val="5"/>
                <c:pt idx="0">
                  <c:v>0</c:v>
                </c:pt>
                <c:pt idx="1">
                  <c:v>1.7742247911456093</c:v>
                </c:pt>
                <c:pt idx="2">
                  <c:v>2.1142170271455325</c:v>
                </c:pt>
                <c:pt idx="3">
                  <c:v>2.6950241632255234</c:v>
                </c:pt>
                <c:pt idx="4">
                  <c:v>2.1219953650053842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B-4604-B0BB-A81BC6A8E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30"/>
        <c:axId val="113548672"/>
        <c:axId val="113566848"/>
      </c:barChart>
      <c:catAx>
        <c:axId val="113548672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135668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1356684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13548672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86840542783847"/>
          <c:y val="0.9192307692307653"/>
          <c:w val="0.79481725290359373"/>
          <c:h val="6.9230769230769235E-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50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s-ES" sz="1400" b="1"/>
              <a:t>GARANTÍA  </a:t>
            </a:r>
          </a:p>
        </c:rich>
      </c:tx>
      <c:layout>
        <c:manualLayout>
          <c:xMode val="edge"/>
          <c:yMode val="edge"/>
          <c:x val="0.403999957892964"/>
          <c:y val="6.456107484705677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4000000000000047E-2"/>
          <c:y val="0.13730253978475737"/>
          <c:w val="0.88197860962566843"/>
          <c:h val="0.61410414776219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'R2'!$E$8:$G$8</c:f>
              <c:strCache>
                <c:ptCount val="3"/>
                <c:pt idx="0">
                  <c:v>Garantía</c:v>
                </c:pt>
              </c:strCache>
            </c:strRef>
          </c:tx>
          <c:spPr>
            <a:solidFill>
              <a:srgbClr val="66FFFF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'R2'!$I$8:$M$8</c:f>
              <c:numCache>
                <c:formatCode>#,##0.00</c:formatCode>
                <c:ptCount val="5"/>
                <c:pt idx="0">
                  <c:v>0</c:v>
                </c:pt>
                <c:pt idx="1">
                  <c:v>0.57346394838836678</c:v>
                </c:pt>
                <c:pt idx="2">
                  <c:v>0.59216608518330183</c:v>
                </c:pt>
                <c:pt idx="3">
                  <c:v>0.31973885040762889</c:v>
                </c:pt>
                <c:pt idx="4">
                  <c:v>0.25448371206740866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B-4DD1-95A8-6EF7386E78E5}"/>
            </c:ext>
          </c:extLst>
        </c:ser>
        <c:ser>
          <c:idx val="1"/>
          <c:order val="1"/>
          <c:tx>
            <c:strRef>
              <c:f>'R2'!$E$9:$G$9</c:f>
              <c:strCache>
                <c:ptCount val="3"/>
                <c:pt idx="0">
                  <c:v>Consistencia</c:v>
                </c:pt>
              </c:strCache>
            </c:strRef>
          </c:tx>
          <c:spPr>
            <a:solidFill>
              <a:srgbClr val="99FFCC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'R2'!$I$6:$M$6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'R2'!$I$9:$M$9</c:f>
              <c:numCache>
                <c:formatCode>#,##0.00</c:formatCode>
                <c:ptCount val="5"/>
                <c:pt idx="0">
                  <c:v>0</c:v>
                </c:pt>
                <c:pt idx="1">
                  <c:v>1.9444474961091276</c:v>
                </c:pt>
                <c:pt idx="2">
                  <c:v>1.4576278187820741</c:v>
                </c:pt>
                <c:pt idx="3">
                  <c:v>1.2262549072321338</c:v>
                </c:pt>
                <c:pt idx="4">
                  <c:v>1.3219178407947594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0B-4DD1-95A8-6EF7386E7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30"/>
        <c:axId val="165832576"/>
        <c:axId val="165834112"/>
      </c:barChart>
      <c:catAx>
        <c:axId val="165832576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658341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83411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#,##0.00" sourceLinked="1"/>
        <c:majorTickMark val="out"/>
        <c:minorTickMark val="none"/>
        <c:tickLblPos val="low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65832576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8800000000000031"/>
          <c:y val="0.88477721827264288"/>
          <c:w val="0.46400000000000002"/>
          <c:h val="7.6817990343799922E-2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75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s-ES" sz="1400" b="1"/>
              <a:t>RENTABILIDAD</a:t>
            </a:r>
          </a:p>
        </c:rich>
      </c:tx>
      <c:layout>
        <c:manualLayout>
          <c:xMode val="edge"/>
          <c:yMode val="edge"/>
          <c:x val="0.37523880170612034"/>
          <c:y val="2.775099010364475E-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90506306745442"/>
          <c:y val="0.12571310869137794"/>
          <c:w val="0.8006040588020068"/>
          <c:h val="0.61296282078889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'R2'!$E$28:$G$28</c:f>
              <c:strCache>
                <c:ptCount val="3"/>
                <c:pt idx="0">
                  <c:v>Rentabilidad Financiera</c:v>
                </c:pt>
              </c:strCache>
            </c:strRef>
          </c:tx>
          <c:spPr>
            <a:solidFill>
              <a:srgbClr val="FF6600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'R2'!$I$20:$M$20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'R2'!$I$28:$M$28</c:f>
              <c:numCache>
                <c:formatCode>0.00%</c:formatCode>
                <c:ptCount val="5"/>
                <c:pt idx="0">
                  <c:v>0</c:v>
                </c:pt>
                <c:pt idx="1">
                  <c:v>0.34956122988681326</c:v>
                </c:pt>
                <c:pt idx="2">
                  <c:v>0.46041503963835628</c:v>
                </c:pt>
                <c:pt idx="3">
                  <c:v>0.33192430842317472</c:v>
                </c:pt>
                <c:pt idx="4">
                  <c:v>0.18585750844576843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33-4E11-A6E0-235C44563514}"/>
            </c:ext>
          </c:extLst>
        </c:ser>
        <c:ser>
          <c:idx val="1"/>
          <c:order val="1"/>
          <c:tx>
            <c:strRef>
              <c:f>'R2'!$E$29:$G$29</c:f>
              <c:strCache>
                <c:ptCount val="3"/>
                <c:pt idx="0">
                  <c:v>Rentabilidad Económica</c:v>
                </c:pt>
              </c:strCache>
            </c:strRef>
          </c:tx>
          <c:spPr>
            <a:solidFill>
              <a:srgbClr val="FFCC66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'R2'!$I$20:$M$20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'R2'!$I$29:$M$29</c:f>
              <c:numCache>
                <c:formatCode>0.00%</c:formatCode>
                <c:ptCount val="5"/>
                <c:pt idx="0">
                  <c:v>0</c:v>
                </c:pt>
                <c:pt idx="1">
                  <c:v>0.1260032103391531</c:v>
                </c:pt>
                <c:pt idx="2">
                  <c:v>0.14784295237778247</c:v>
                </c:pt>
                <c:pt idx="3">
                  <c:v>8.9832659787875094E-2</c:v>
                </c:pt>
                <c:pt idx="4">
                  <c:v>5.9531641375594385E-2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33-4E11-A6E0-235C44563514}"/>
            </c:ext>
          </c:extLst>
        </c:ser>
        <c:ser>
          <c:idx val="2"/>
          <c:order val="2"/>
          <c:tx>
            <c:strRef>
              <c:f>'R2'!$E$31:$G$31</c:f>
              <c:strCache>
                <c:ptCount val="3"/>
                <c:pt idx="0">
                  <c:v>Rentabilidad de las Ventas</c:v>
                </c:pt>
              </c:strCache>
            </c:strRef>
          </c:tx>
          <c:spPr>
            <a:solidFill>
              <a:srgbClr val="FFCC99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'R2'!$I$20:$M$20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'R2'!$I$31:$M$31</c:f>
              <c:numCache>
                <c:formatCode>0.00%</c:formatCode>
                <c:ptCount val="5"/>
                <c:pt idx="0">
                  <c:v>0</c:v>
                </c:pt>
                <c:pt idx="1">
                  <c:v>7.6453714243195733E-2</c:v>
                </c:pt>
                <c:pt idx="2">
                  <c:v>8.4176472164450677E-2</c:v>
                </c:pt>
                <c:pt idx="3">
                  <c:v>5.310800791342063E-2</c:v>
                </c:pt>
                <c:pt idx="4">
                  <c:v>3.9533429034398861E-2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33-4E11-A6E0-235C44563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30"/>
        <c:axId val="165868672"/>
        <c:axId val="165870208"/>
      </c:barChart>
      <c:catAx>
        <c:axId val="165868672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/>
            </a:pPr>
            <a:endParaRPr lang="es-ES"/>
          </a:p>
        </c:txPr>
        <c:crossAx val="16587020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587020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low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65868672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7391680909396279"/>
          <c:y val="0.85205501512073456"/>
          <c:w val="0.77469508863906866"/>
          <c:h val="0.11846689895470383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s-ES" sz="1400" b="1"/>
              <a:t>FONDO de MANIOBRA</a:t>
            </a:r>
          </a:p>
        </c:rich>
      </c:tx>
      <c:layout>
        <c:manualLayout>
          <c:xMode val="edge"/>
          <c:yMode val="edge"/>
          <c:x val="0.30856661236311117"/>
          <c:y val="4.3620659752332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18039656807605"/>
          <c:y val="0.17757667277891637"/>
          <c:w val="0.82081233184409941"/>
          <c:h val="0.655064303340559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'R2'!$E$34:$G$34</c:f>
              <c:strCache>
                <c:ptCount val="3"/>
                <c:pt idx="0">
                  <c:v>FONDO de MANIOBRA</c:v>
                </c:pt>
              </c:strCache>
            </c:strRef>
          </c:tx>
          <c:spPr>
            <a:solidFill>
              <a:srgbClr val="FF66CC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'R2'!$I$41:$M$41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'R2'!$I$36:$M$36</c:f>
              <c:numCache>
                <c:formatCode>#,##0</c:formatCode>
                <c:ptCount val="5"/>
                <c:pt idx="0">
                  <c:v>0</c:v>
                </c:pt>
                <c:pt idx="1">
                  <c:v>242848.97999999998</c:v>
                </c:pt>
                <c:pt idx="2">
                  <c:v>189541.10000000003</c:v>
                </c:pt>
                <c:pt idx="3">
                  <c:v>142527.04999999999</c:v>
                </c:pt>
                <c:pt idx="4">
                  <c:v>98343.25999999998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2B-4D59-98DF-D2712CDBF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9"/>
        <c:axId val="169294080"/>
        <c:axId val="169295872"/>
      </c:barChart>
      <c:catAx>
        <c:axId val="169294080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6929587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9295872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#,##0" sourceLinked="1"/>
        <c:majorTickMark val="out"/>
        <c:minorTickMark val="none"/>
        <c:tickLblPos val="low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s-ES"/>
          </a:p>
        </c:txPr>
        <c:crossAx val="169294080"/>
        <c:crosses val="autoZero"/>
        <c:crossBetween val="between"/>
        <c:dispUnits>
          <c:builtInUnit val="thousands"/>
          <c:dispUnitsLbl/>
        </c:dispUnits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975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s-ES" sz="1400" b="1"/>
              <a:t>DÍAS COBRO Y PAGO</a:t>
            </a:r>
          </a:p>
        </c:rich>
      </c:tx>
      <c:layout>
        <c:manualLayout>
          <c:xMode val="edge"/>
          <c:yMode val="edge"/>
          <c:x val="0.33395872420263001"/>
          <c:y val="3.654490978137638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07504690431522"/>
          <c:y val="0.16611322627898262"/>
          <c:w val="0.84725868340061561"/>
          <c:h val="0.637874788911293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'R2'!$E$45:$G$45</c:f>
              <c:strCache>
                <c:ptCount val="3"/>
                <c:pt idx="0">
                  <c:v>Días cobro clientes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'R2'!$I$41:$M$41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'R2'!$I$45:$M$45</c:f>
              <c:numCache>
                <c:formatCode>#,##0.0</c:formatCode>
                <c:ptCount val="5"/>
                <c:pt idx="0">
                  <c:v>0</c:v>
                </c:pt>
                <c:pt idx="1">
                  <c:v>86.864138241481712</c:v>
                </c:pt>
                <c:pt idx="2">
                  <c:v>64.481922684792053</c:v>
                </c:pt>
                <c:pt idx="3">
                  <c:v>80.704344769929051</c:v>
                </c:pt>
                <c:pt idx="4">
                  <c:v>90.238303091958173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2-48C0-B162-C7C17E9BF89C}"/>
            </c:ext>
          </c:extLst>
        </c:ser>
        <c:ser>
          <c:idx val="1"/>
          <c:order val="1"/>
          <c:tx>
            <c:strRef>
              <c:f>'R2'!$E$46:$G$46</c:f>
              <c:strCache>
                <c:ptCount val="3"/>
                <c:pt idx="0">
                  <c:v>Días pago proveedores</c:v>
                </c:pt>
              </c:strCache>
            </c:strRef>
          </c:tx>
          <c:spPr>
            <a:solidFill>
              <a:srgbClr val="339933"/>
            </a:solidFill>
            <a:ln w="12700">
              <a:solidFill>
                <a:srgbClr val="808080"/>
              </a:solidFill>
              <a:prstDash val="solid"/>
            </a:ln>
            <a:effectLst>
              <a:innerShdw blurRad="114300">
                <a:prstClr val="black"/>
              </a:innerShdw>
            </a:effectLst>
          </c:spPr>
          <c:invertIfNegative val="0"/>
          <c:cat>
            <c:numRef>
              <c:f>'R2'!$I$41:$M$41</c:f>
              <c:numCache>
                <c:formatCode>@</c:formatCode>
                <c:ptCount val="5"/>
                <c:pt idx="0">
                  <c:v>2026</c:v>
                </c:pt>
                <c:pt idx="1">
                  <c:v>2025</c:v>
                </c:pt>
                <c:pt idx="2">
                  <c:v>2024</c:v>
                </c:pt>
                <c:pt idx="3">
                  <c:v>2023</c:v>
                </c:pt>
                <c:pt idx="4">
                  <c:v>2022</c:v>
                </c:pt>
              </c:numCache>
            </c:numRef>
          </c:cat>
          <c:val>
            <c:numRef>
              <c:f>'R2'!$I$46:$M$46</c:f>
              <c:numCache>
                <c:formatCode>#,##0.0</c:formatCode>
                <c:ptCount val="5"/>
                <c:pt idx="0">
                  <c:v>0</c:v>
                </c:pt>
                <c:pt idx="1">
                  <c:v>96.937586940816388</c:v>
                </c:pt>
                <c:pt idx="2">
                  <c:v>58.565569142108671</c:v>
                </c:pt>
                <c:pt idx="3">
                  <c:v>94.766034681410886</c:v>
                </c:pt>
                <c:pt idx="4">
                  <c:v>88.595374783218887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82-48C0-B162-C7C17E9BF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30"/>
        <c:axId val="169304832"/>
        <c:axId val="169306368"/>
      </c:barChart>
      <c:catAx>
        <c:axId val="169304832"/>
        <c:scaling>
          <c:orientation val="minMax"/>
        </c:scaling>
        <c:delete val="0"/>
        <c:axPos val="b"/>
        <c:numFmt formatCode="@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es-ES"/>
          </a:p>
        </c:txPr>
        <c:crossAx val="16930636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69306368"/>
        <c:scaling>
          <c:orientation val="minMax"/>
        </c:scaling>
        <c:delete val="0"/>
        <c:axPos val="l"/>
        <c:maj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C0C0C0"/>
            </a:solidFill>
            <a:prstDash val="solid"/>
          </a:ln>
        </c:spPr>
        <c:txPr>
          <a:bodyPr rot="0" vert="horz"/>
          <a:lstStyle/>
          <a:p>
            <a:pPr>
              <a:defRPr sz="900"/>
            </a:pPr>
            <a:endParaRPr lang="es-ES"/>
          </a:p>
        </c:txPr>
        <c:crossAx val="169304832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14634146341463444"/>
          <c:y val="0.9302340671623025"/>
          <c:w val="0.74296435272045025"/>
          <c:h val="5.980076146043400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900"/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75" b="0" i="0" u="none" strike="noStrike" baseline="0">
          <a:solidFill>
            <a:schemeClr val="bg1">
              <a:lumMod val="50000"/>
            </a:schemeClr>
          </a:solidFill>
          <a:latin typeface="Segoe UI" panose="020B0502040204020203" pitchFamily="34" charset="0"/>
          <a:ea typeface="Segoe UI" panose="020B0502040204020203" pitchFamily="34" charset="0"/>
          <a:cs typeface="Segoe UI" panose="020B0502040204020203" pitchFamily="34" charset="0"/>
        </a:defRPr>
      </a:pPr>
      <a:endParaRPr lang="es-ES"/>
    </a:p>
  </c:txPr>
  <c:printSettings>
    <c:headerFooter alignWithMargins="0"/>
    <c:pageMargins b="1" l="0.75000000000000311" r="0.75000000000000311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iniciohoja"/><Relationship Id="rId13" Type="http://schemas.openxmlformats.org/officeDocument/2006/relationships/image" Target="../media/image5.png"/><Relationship Id="rId3" Type="http://schemas.openxmlformats.org/officeDocument/2006/relationships/hyperlink" Target="#PUBLICIDAD1"/><Relationship Id="rId7" Type="http://schemas.openxmlformats.org/officeDocument/2006/relationships/image" Target="../media/image3.png"/><Relationship Id="rId12" Type="http://schemas.openxmlformats.org/officeDocument/2006/relationships/hyperlink" Target="#info1"/><Relationship Id="rId2" Type="http://schemas.openxmlformats.org/officeDocument/2006/relationships/image" Target="../media/image1.png"/><Relationship Id="rId1" Type="http://schemas.openxmlformats.org/officeDocument/2006/relationships/hyperlink" Target="http://www.plannegocios.com/plan_negocios/analisis_financiero" TargetMode="External"/><Relationship Id="rId6" Type="http://schemas.openxmlformats.org/officeDocument/2006/relationships/hyperlink" Target="mailto:atencion@e.ditor.com?subject=Producto:An&#225;lisis%20financiero%20F&#193;CIL%20GRATIS" TargetMode="External"/><Relationship Id="rId11" Type="http://schemas.openxmlformats.org/officeDocument/2006/relationships/hyperlink" Target="mailto:atencion@e.ditor.com?subject=An&#225;lisis%20financiero%20F&#193;CIL%20GRATIS" TargetMode="External"/><Relationship Id="rId5" Type="http://schemas.openxmlformats.org/officeDocument/2006/relationships/image" Target="../media/image2.png"/><Relationship Id="rId10" Type="http://schemas.openxmlformats.org/officeDocument/2006/relationships/image" Target="../media/image4.emf"/><Relationship Id="rId4" Type="http://schemas.openxmlformats.org/officeDocument/2006/relationships/hyperlink" Target="#arribaDATOS"/><Relationship Id="rId9" Type="http://schemas.openxmlformats.org/officeDocument/2006/relationships/hyperlink" Target="#arribaa2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hyperlink" Target="#arribaDATOS"/><Relationship Id="rId7" Type="http://schemas.openxmlformats.org/officeDocument/2006/relationships/hyperlink" Target="#PUBLICIDAD1"/><Relationship Id="rId2" Type="http://schemas.openxmlformats.org/officeDocument/2006/relationships/image" Target="../media/image6.png"/><Relationship Id="rId1" Type="http://schemas.openxmlformats.org/officeDocument/2006/relationships/hyperlink" Target="#iniciohoja"/><Relationship Id="rId6" Type="http://schemas.openxmlformats.org/officeDocument/2006/relationships/image" Target="../media/image2.png"/><Relationship Id="rId5" Type="http://schemas.openxmlformats.org/officeDocument/2006/relationships/hyperlink" Target="#ARRIBAAR"/><Relationship Id="rId10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hyperlink" Target="#datosbalances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3" Type="http://schemas.openxmlformats.org/officeDocument/2006/relationships/hyperlink" Target="#arribaDATOS"/><Relationship Id="rId7" Type="http://schemas.openxmlformats.org/officeDocument/2006/relationships/hyperlink" Target="#PUBLICIDAD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hyperlink" Target="#arribaa2"/><Relationship Id="rId4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hyperlink" Target="#liquidez"/><Relationship Id="rId7" Type="http://schemas.openxmlformats.org/officeDocument/2006/relationships/hyperlink" Target="#ARRIBAAR"/><Relationship Id="rId12" Type="http://schemas.openxmlformats.org/officeDocument/2006/relationships/image" Target="../media/image4.emf"/><Relationship Id="rId2" Type="http://schemas.openxmlformats.org/officeDocument/2006/relationships/hyperlink" Target="#RENTABILIDAD"/><Relationship Id="rId1" Type="http://schemas.openxmlformats.org/officeDocument/2006/relationships/hyperlink" Target="#fondomaniobra"/><Relationship Id="rId6" Type="http://schemas.openxmlformats.org/officeDocument/2006/relationships/hyperlink" Target="#rotations"/><Relationship Id="rId11" Type="http://schemas.openxmlformats.org/officeDocument/2006/relationships/hyperlink" Target="#PUBLICIDAD1"/><Relationship Id="rId5" Type="http://schemas.openxmlformats.org/officeDocument/2006/relationships/hyperlink" Target="#GARANTIA"/><Relationship Id="rId10" Type="http://schemas.openxmlformats.org/officeDocument/2006/relationships/image" Target="../media/image2.png"/><Relationship Id="rId4" Type="http://schemas.openxmlformats.org/officeDocument/2006/relationships/hyperlink" Target="#solvencia"/><Relationship Id="rId9" Type="http://schemas.openxmlformats.org/officeDocument/2006/relationships/hyperlink" Target="#arribaR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PUBLICIDAD1"/><Relationship Id="rId3" Type="http://schemas.openxmlformats.org/officeDocument/2006/relationships/hyperlink" Target="#arribaa2"/><Relationship Id="rId7" Type="http://schemas.openxmlformats.org/officeDocument/2006/relationships/hyperlink" Target="#arribaR1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image" Target="../media/image2.png"/><Relationship Id="rId5" Type="http://schemas.openxmlformats.org/officeDocument/2006/relationships/hyperlink" Target="#arribaR2"/><Relationship Id="rId4" Type="http://schemas.openxmlformats.org/officeDocument/2006/relationships/image" Target="../media/image6.png"/><Relationship Id="rId9" Type="http://schemas.openxmlformats.org/officeDocument/2006/relationships/image" Target="../media/image4.emf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image" Target="../media/image4.emf"/><Relationship Id="rId3" Type="http://schemas.openxmlformats.org/officeDocument/2006/relationships/chart" Target="../charts/chart7.xml"/><Relationship Id="rId7" Type="http://schemas.openxmlformats.org/officeDocument/2006/relationships/hyperlink" Target="#arribaR1"/><Relationship Id="rId12" Type="http://schemas.openxmlformats.org/officeDocument/2006/relationships/hyperlink" Target="#PUBLICIDAD1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hyperlink" Target="#arribaR2"/><Relationship Id="rId5" Type="http://schemas.openxmlformats.org/officeDocument/2006/relationships/chart" Target="../charts/chart9.xml"/><Relationship Id="rId10" Type="http://schemas.openxmlformats.org/officeDocument/2006/relationships/image" Target="../media/image2.png"/><Relationship Id="rId4" Type="http://schemas.openxmlformats.org/officeDocument/2006/relationships/chart" Target="../charts/chart8.xml"/><Relationship Id="rId9" Type="http://schemas.openxmlformats.org/officeDocument/2006/relationships/hyperlink" Target="#iniciohoja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523875</xdr:colOff>
      <xdr:row>718</xdr:row>
      <xdr:rowOff>127001</xdr:rowOff>
    </xdr:from>
    <xdr:to>
      <xdr:col>11</xdr:col>
      <xdr:colOff>276225</xdr:colOff>
      <xdr:row>739</xdr:row>
      <xdr:rowOff>16870</xdr:rowOff>
    </xdr:to>
    <xdr:pic>
      <xdr:nvPicPr>
        <xdr:cNvPr id="35923" name="Picture 83" descr="publicidad">
          <a:hlinkClick xmlns:r="http://schemas.openxmlformats.org/officeDocument/2006/relationships" r:id="rId1" tooltip="Ir a la web"/>
          <a:extLst>
            <a:ext uri="{FF2B5EF4-FFF2-40B4-BE49-F238E27FC236}">
              <a16:creationId xmlns:a16="http://schemas.microsoft.com/office/drawing/2014/main" id="{00000000-0008-0000-0000-0000538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43050" y="126580901"/>
          <a:ext cx="5438775" cy="3290295"/>
        </a:xfrm>
        <a:prstGeom prst="rect">
          <a:avLst/>
        </a:prstGeom>
        <a:noFill/>
        <a:ln w="3175">
          <a:noFill/>
        </a:ln>
        <a:effectLst/>
      </xdr:spPr>
    </xdr:pic>
    <xdr:clientData/>
  </xdr:twoCellAnchor>
  <xdr:oneCellAnchor>
    <xdr:from>
      <xdr:col>9</xdr:col>
      <xdr:colOff>666750</xdr:colOff>
      <xdr:row>193</xdr:row>
      <xdr:rowOff>47625</xdr:rowOff>
    </xdr:from>
    <xdr:ext cx="2601056" cy="676276"/>
    <xdr:sp macro="" textlink="">
      <xdr:nvSpPr>
        <xdr:cNvPr id="35" name="34 CuadroTexto">
          <a:hlinkClick xmlns:r="http://schemas.openxmlformats.org/officeDocument/2006/relationships" r:id="rId3" tooltip="Información sobre sistemas profesionales"/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5210175" y="32737425"/>
          <a:ext cx="2601056" cy="676276"/>
        </a:xfrm>
        <a:prstGeom prst="rect">
          <a:avLst/>
        </a:prstGeom>
        <a:solidFill>
          <a:schemeClr val="bg2"/>
        </a:solidFill>
        <a:ln>
          <a:solidFill>
            <a:srgbClr val="C0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s-ES" sz="1100" b="1" baseline="0">
              <a:solidFill>
                <a:schemeClr val="bg1">
                  <a:lumMod val="50000"/>
                </a:schemeClr>
              </a:solidFill>
              <a:latin typeface="Segoe UI" pitchFamily="34" charset="0"/>
              <a:ea typeface="Tahoma" pitchFamily="34" charset="0"/>
              <a:cs typeface="Segoe UI" pitchFamily="34" charset="0"/>
            </a:rPr>
            <a:t> AEFP el más completo y </a:t>
          </a:r>
          <a:r>
            <a:rPr lang="es-ES" sz="1100" b="1" baseline="0">
              <a:solidFill>
                <a:schemeClr val="bg1">
                  <a:lumMod val="50000"/>
                </a:schemeClr>
              </a:solidFill>
              <a:effectLst/>
              <a:latin typeface="Segoe UI" pitchFamily="34" charset="0"/>
              <a:ea typeface="Tahoma" pitchFamily="34" charset="0"/>
              <a:cs typeface="Segoe UI" pitchFamily="34" charset="0"/>
            </a:rPr>
            <a:t>profesional</a:t>
          </a:r>
          <a:endParaRPr lang="es-ES" sz="1100" b="1">
            <a:solidFill>
              <a:schemeClr val="bg1">
                <a:lumMod val="50000"/>
              </a:schemeClr>
            </a:solidFill>
            <a:effectLst/>
            <a:latin typeface="Segoe UI" pitchFamily="34" charset="0"/>
            <a:ea typeface="Tahoma" pitchFamily="34" charset="0"/>
            <a:cs typeface="Segoe UI" pitchFamily="34" charset="0"/>
          </a:endParaRPr>
        </a:p>
        <a:p>
          <a:pPr algn="ctr"/>
          <a:r>
            <a:rPr lang="es-ES" sz="1100" b="1">
              <a:solidFill>
                <a:schemeClr val="bg1">
                  <a:lumMod val="50000"/>
                </a:schemeClr>
              </a:solidFill>
              <a:latin typeface="Segoe UI" pitchFamily="34" charset="0"/>
              <a:ea typeface="Tahoma" pitchFamily="34" charset="0"/>
              <a:cs typeface="Segoe UI" pitchFamily="34" charset="0"/>
            </a:rPr>
            <a:t>análisis de la empresa</a:t>
          </a:r>
        </a:p>
        <a:p>
          <a:pPr algn="ctr"/>
          <a:r>
            <a:rPr lang="es-ES" sz="1100" b="1" u="sng">
              <a:solidFill>
                <a:srgbClr val="C00000"/>
              </a:solidFill>
              <a:latin typeface="Segoe UI" pitchFamily="34" charset="0"/>
              <a:ea typeface="Tahoma" pitchFamily="34" charset="0"/>
              <a:cs typeface="Segoe UI" pitchFamily="34" charset="0"/>
            </a:rPr>
            <a:t>más</a:t>
          </a:r>
          <a:r>
            <a:rPr lang="es-ES" sz="1100" b="1" u="sng" baseline="0">
              <a:solidFill>
                <a:srgbClr val="C00000"/>
              </a:solidFill>
              <a:latin typeface="Segoe UI" pitchFamily="34" charset="0"/>
              <a:ea typeface="Tahoma" pitchFamily="34" charset="0"/>
              <a:cs typeface="Segoe UI" pitchFamily="34" charset="0"/>
            </a:rPr>
            <a:t> información</a:t>
          </a:r>
          <a:endParaRPr lang="es-ES" sz="1100" b="1" u="sng">
            <a:solidFill>
              <a:srgbClr val="C00000"/>
            </a:solidFill>
            <a:latin typeface="Segoe UI" pitchFamily="34" charset="0"/>
            <a:ea typeface="Tahoma" pitchFamily="34" charset="0"/>
            <a:cs typeface="Segoe UI" pitchFamily="34" charset="0"/>
          </a:endParaRPr>
        </a:p>
        <a:p>
          <a:pPr algn="ctr"/>
          <a:endParaRPr lang="es-ES" sz="1100" b="1">
            <a:solidFill>
              <a:schemeClr val="accent2">
                <a:lumMod val="75000"/>
              </a:schemeClr>
            </a:solidFill>
            <a:latin typeface="Segoe UI" pitchFamily="34" charset="0"/>
            <a:ea typeface="Tahoma" pitchFamily="34" charset="0"/>
            <a:cs typeface="Segoe UI" pitchFamily="34" charset="0"/>
          </a:endParaRPr>
        </a:p>
        <a:p>
          <a:pPr algn="ctr"/>
          <a:endParaRPr lang="es-ES" sz="1100" b="1">
            <a:solidFill>
              <a:schemeClr val="accent2">
                <a:lumMod val="75000"/>
              </a:schemeClr>
            </a:solidFill>
            <a:latin typeface="Segoe UI" pitchFamily="34" charset="0"/>
            <a:ea typeface="Tahoma" pitchFamily="34" charset="0"/>
            <a:cs typeface="Segoe UI" pitchFamily="34" charset="0"/>
          </a:endParaRPr>
        </a:p>
      </xdr:txBody>
    </xdr:sp>
    <xdr:clientData/>
  </xdr:oneCellAnchor>
  <xdr:oneCellAnchor>
    <xdr:from>
      <xdr:col>5</xdr:col>
      <xdr:colOff>273050</xdr:colOff>
      <xdr:row>331</xdr:row>
      <xdr:rowOff>47625</xdr:rowOff>
    </xdr:from>
    <xdr:ext cx="3846892" cy="676378"/>
    <xdr:sp macro="" textlink="">
      <xdr:nvSpPr>
        <xdr:cNvPr id="38" name="37 CuadroTexto">
          <a:hlinkClick xmlns:r="http://schemas.openxmlformats.org/officeDocument/2006/relationships" r:id="rId3" tooltip="Información sobre sistemas profesionales"/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2606675" y="59083575"/>
          <a:ext cx="3846892" cy="676378"/>
        </a:xfrm>
        <a:prstGeom prst="rect">
          <a:avLst/>
        </a:prstGeom>
        <a:noFill/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pPr algn="ctr"/>
          <a:r>
            <a:rPr lang="es-ES" sz="1400" b="1">
              <a:solidFill>
                <a:schemeClr val="bg1">
                  <a:lumMod val="50000"/>
                </a:schemeClr>
              </a:solidFill>
              <a:latin typeface="Segoe UI" pitchFamily="34" charset="0"/>
              <a:ea typeface="Tahoma" pitchFamily="34" charset="0"/>
              <a:cs typeface="Segoe UI" pitchFamily="34" charset="0"/>
            </a:rPr>
            <a:t>Más</a:t>
          </a:r>
          <a:r>
            <a:rPr lang="es-ES" sz="1400" b="1" baseline="0">
              <a:solidFill>
                <a:schemeClr val="bg1">
                  <a:lumMod val="50000"/>
                </a:schemeClr>
              </a:solidFill>
              <a:latin typeface="Segoe UI" pitchFamily="34" charset="0"/>
              <a:ea typeface="Tahoma" pitchFamily="34" charset="0"/>
              <a:cs typeface="Segoe UI" pitchFamily="34" charset="0"/>
            </a:rPr>
            <a:t> potencia y detalle:</a:t>
          </a:r>
          <a:endParaRPr lang="es-ES" sz="1400" b="1">
            <a:solidFill>
              <a:schemeClr val="bg1">
                <a:lumMod val="50000"/>
              </a:schemeClr>
            </a:solidFill>
            <a:latin typeface="Segoe UI" pitchFamily="34" charset="0"/>
            <a:ea typeface="Tahoma" pitchFamily="34" charset="0"/>
            <a:cs typeface="Segoe UI" pitchFamily="34" charset="0"/>
          </a:endParaRPr>
        </a:p>
        <a:p>
          <a:pPr algn="ctr"/>
          <a:r>
            <a:rPr lang="es-ES" sz="1600" b="1">
              <a:solidFill>
                <a:schemeClr val="accent2">
                  <a:lumMod val="75000"/>
                </a:schemeClr>
              </a:solidFill>
              <a:latin typeface="Segoe UI" pitchFamily="34" charset="0"/>
              <a:ea typeface="Tahoma" pitchFamily="34" charset="0"/>
              <a:cs typeface="Segoe UI" pitchFamily="34" charset="0"/>
            </a:rPr>
            <a:t>AEFIN análisis financiero profesional</a:t>
          </a:r>
        </a:p>
      </xdr:txBody>
    </xdr:sp>
    <xdr:clientData/>
  </xdr:oneCellAnchor>
  <xdr:twoCellAnchor editAs="oneCell">
    <xdr:from>
      <xdr:col>11</xdr:col>
      <xdr:colOff>371475</xdr:colOff>
      <xdr:row>2</xdr:row>
      <xdr:rowOff>85725</xdr:rowOff>
    </xdr:from>
    <xdr:to>
      <xdr:col>11</xdr:col>
      <xdr:colOff>673875</xdr:colOff>
      <xdr:row>2</xdr:row>
      <xdr:rowOff>373725</xdr:rowOff>
    </xdr:to>
    <xdr:pic>
      <xdr:nvPicPr>
        <xdr:cNvPr id="29" name="28 Imagen">
          <a:hlinkClick xmlns:r="http://schemas.openxmlformats.org/officeDocument/2006/relationships" r:id="rId4" tooltip="Ir a la hoja SIGUIENTE"/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77075" y="476250"/>
          <a:ext cx="302400" cy="288000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714374</xdr:colOff>
      <xdr:row>251</xdr:row>
      <xdr:rowOff>114298</xdr:rowOff>
    </xdr:from>
    <xdr:to>
      <xdr:col>7</xdr:col>
      <xdr:colOff>179153</xdr:colOff>
      <xdr:row>253</xdr:row>
      <xdr:rowOff>78448</xdr:rowOff>
    </xdr:to>
    <xdr:pic>
      <xdr:nvPicPr>
        <xdr:cNvPr id="32" name="Picture 1026" descr="EDITOR">
          <a:hlinkClick xmlns:r="http://schemas.openxmlformats.org/officeDocument/2006/relationships" r:id="rId6" tooltip="Consultas, dudas y sugerencias (contacto por email)"/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781299" y="43624498"/>
          <a:ext cx="769704" cy="288000"/>
        </a:xfrm>
        <a:prstGeom prst="rect">
          <a:avLst/>
        </a:prstGeom>
        <a:solidFill>
          <a:srgbClr val="FFFF99"/>
        </a:solidFill>
        <a:ln w="38100" cmpd="dbl">
          <a:noFill/>
          <a:miter lim="800000"/>
          <a:headEnd/>
          <a:tailEnd/>
        </a:ln>
        <a:effectLst/>
      </xdr:spPr>
    </xdr:pic>
    <xdr:clientData/>
  </xdr:twoCellAnchor>
  <xdr:oneCellAnchor>
    <xdr:from>
      <xdr:col>12</xdr:col>
      <xdr:colOff>85725</xdr:colOff>
      <xdr:row>183</xdr:row>
      <xdr:rowOff>66674</xdr:rowOff>
    </xdr:from>
    <xdr:ext cx="633763" cy="297004"/>
    <xdr:sp macro="" textlink="">
      <xdr:nvSpPr>
        <xdr:cNvPr id="3" name="2 CuadroTexto">
          <a:hlinkClick xmlns:r="http://schemas.openxmlformats.org/officeDocument/2006/relationships" r:id="rId8" tooltip="VOLVER al inicio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505700" y="30956249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190500</xdr:colOff>
      <xdr:row>197</xdr:row>
      <xdr:rowOff>152400</xdr:rowOff>
    </xdr:from>
    <xdr:ext cx="633763" cy="297004"/>
    <xdr:sp macro="" textlink="">
      <xdr:nvSpPr>
        <xdr:cNvPr id="34" name="33 CuadroTexto">
          <a:hlinkClick xmlns:r="http://schemas.openxmlformats.org/officeDocument/2006/relationships" r:id="rId8" tooltip="VOLVER al inicio"/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7343775" y="33718500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180975</xdr:colOff>
      <xdr:row>223</xdr:row>
      <xdr:rowOff>123825</xdr:rowOff>
    </xdr:from>
    <xdr:ext cx="633763" cy="297004"/>
    <xdr:sp macro="" textlink="">
      <xdr:nvSpPr>
        <xdr:cNvPr id="39" name="38 CuadroTexto">
          <a:hlinkClick xmlns:r="http://schemas.openxmlformats.org/officeDocument/2006/relationships" r:id="rId8" tooltip="VOLVER al inicio"/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7334250" y="38614350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180975</xdr:colOff>
      <xdr:row>240</xdr:row>
      <xdr:rowOff>123825</xdr:rowOff>
    </xdr:from>
    <xdr:ext cx="633763" cy="297004"/>
    <xdr:sp macro="" textlink="">
      <xdr:nvSpPr>
        <xdr:cNvPr id="41" name="40 CuadroTexto">
          <a:hlinkClick xmlns:r="http://schemas.openxmlformats.org/officeDocument/2006/relationships" r:id="rId8" tooltip="VOLVER al inicio"/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/>
      </xdr:nvSpPr>
      <xdr:spPr>
        <a:xfrm>
          <a:off x="7334250" y="41490900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190500</xdr:colOff>
      <xdr:row>255</xdr:row>
      <xdr:rowOff>66675</xdr:rowOff>
    </xdr:from>
    <xdr:ext cx="633763" cy="297004"/>
    <xdr:sp macro="" textlink="">
      <xdr:nvSpPr>
        <xdr:cNvPr id="42" name="41 CuadroTexto">
          <a:hlinkClick xmlns:r="http://schemas.openxmlformats.org/officeDocument/2006/relationships" r:id="rId8" tooltip="VOLVER al inicio"/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>
        <a:xfrm>
          <a:off x="7343775" y="44138850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171450</xdr:colOff>
      <xdr:row>293</xdr:row>
      <xdr:rowOff>104775</xdr:rowOff>
    </xdr:from>
    <xdr:ext cx="633763" cy="297004"/>
    <xdr:sp macro="" textlink="">
      <xdr:nvSpPr>
        <xdr:cNvPr id="43" name="42 CuadroTexto">
          <a:hlinkClick xmlns:r="http://schemas.openxmlformats.org/officeDocument/2006/relationships" r:id="rId8" tooltip="VOLVER al inicio"/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/>
      </xdr:nvSpPr>
      <xdr:spPr>
        <a:xfrm>
          <a:off x="7324725" y="51720750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161925</xdr:colOff>
      <xdr:row>355</xdr:row>
      <xdr:rowOff>142875</xdr:rowOff>
    </xdr:from>
    <xdr:ext cx="633763" cy="297004"/>
    <xdr:sp macro="" textlink="">
      <xdr:nvSpPr>
        <xdr:cNvPr id="45" name="44 CuadroTexto">
          <a:hlinkClick xmlns:r="http://schemas.openxmlformats.org/officeDocument/2006/relationships" r:id="rId9" tooltip="Ir a la sección"/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 txBox="1"/>
      </xdr:nvSpPr>
      <xdr:spPr>
        <a:xfrm>
          <a:off x="7581900" y="63179325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142875</xdr:colOff>
      <xdr:row>409</xdr:row>
      <xdr:rowOff>0</xdr:rowOff>
    </xdr:from>
    <xdr:ext cx="633763" cy="297004"/>
    <xdr:sp macro="" textlink="">
      <xdr:nvSpPr>
        <xdr:cNvPr id="46" name="45 CuadroTexto">
          <a:hlinkClick xmlns:r="http://schemas.openxmlformats.org/officeDocument/2006/relationships" r:id="rId9" tooltip="Ir a la sección"/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 txBox="1"/>
      </xdr:nvSpPr>
      <xdr:spPr>
        <a:xfrm>
          <a:off x="7562850" y="73037700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161925</xdr:colOff>
      <xdr:row>467</xdr:row>
      <xdr:rowOff>0</xdr:rowOff>
    </xdr:from>
    <xdr:ext cx="633763" cy="297004"/>
    <xdr:sp macro="" textlink="">
      <xdr:nvSpPr>
        <xdr:cNvPr id="47" name="46 CuadroTexto">
          <a:hlinkClick xmlns:r="http://schemas.openxmlformats.org/officeDocument/2006/relationships" r:id="rId9" tooltip="Ir a la sección"/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 txBox="1"/>
      </xdr:nvSpPr>
      <xdr:spPr>
        <a:xfrm>
          <a:off x="7581900" y="83391375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190500</xdr:colOff>
      <xdr:row>534</xdr:row>
      <xdr:rowOff>152400</xdr:rowOff>
    </xdr:from>
    <xdr:ext cx="633763" cy="297004"/>
    <xdr:sp macro="" textlink="">
      <xdr:nvSpPr>
        <xdr:cNvPr id="50" name="49 CuadroTexto">
          <a:hlinkClick xmlns:r="http://schemas.openxmlformats.org/officeDocument/2006/relationships" r:id="rId9" tooltip="Ir a la sección"/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 txBox="1"/>
      </xdr:nvSpPr>
      <xdr:spPr>
        <a:xfrm>
          <a:off x="7610475" y="95049975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152400</xdr:colOff>
      <xdr:row>581</xdr:row>
      <xdr:rowOff>152400</xdr:rowOff>
    </xdr:from>
    <xdr:ext cx="633763" cy="297004"/>
    <xdr:sp macro="" textlink="">
      <xdr:nvSpPr>
        <xdr:cNvPr id="51" name="50 CuadroTexto">
          <a:hlinkClick xmlns:r="http://schemas.openxmlformats.org/officeDocument/2006/relationships" r:id="rId9" tooltip="Ir a la sección"/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 txBox="1"/>
      </xdr:nvSpPr>
      <xdr:spPr>
        <a:xfrm>
          <a:off x="7572375" y="103393875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142875</xdr:colOff>
      <xdr:row>638</xdr:row>
      <xdr:rowOff>0</xdr:rowOff>
    </xdr:from>
    <xdr:ext cx="633763" cy="297004"/>
    <xdr:sp macro="" textlink="">
      <xdr:nvSpPr>
        <xdr:cNvPr id="53" name="52 CuadroTexto">
          <a:hlinkClick xmlns:r="http://schemas.openxmlformats.org/officeDocument/2006/relationships" r:id="rId9" tooltip="Ir a la sección"/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 txBox="1"/>
      </xdr:nvSpPr>
      <xdr:spPr>
        <a:xfrm>
          <a:off x="7562850" y="113376075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10</xdr:col>
      <xdr:colOff>1000125</xdr:colOff>
      <xdr:row>741</xdr:row>
      <xdr:rowOff>85725</xdr:rowOff>
    </xdr:from>
    <xdr:ext cx="633763" cy="297004"/>
    <xdr:sp macro="" textlink="">
      <xdr:nvSpPr>
        <xdr:cNvPr id="54" name="53 CuadroTexto">
          <a:hlinkClick xmlns:r="http://schemas.openxmlformats.org/officeDocument/2006/relationships" r:id="rId8" tooltip="VOLVER al inicio"/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 txBox="1"/>
      </xdr:nvSpPr>
      <xdr:spPr>
        <a:xfrm>
          <a:off x="6734175" y="129759075"/>
          <a:ext cx="633763" cy="29700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 u="sng">
              <a:solidFill>
                <a:srgbClr val="C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oneCellAnchor>
    <xdr:from>
      <xdr:col>12</xdr:col>
      <xdr:colOff>647700</xdr:colOff>
      <xdr:row>851</xdr:row>
      <xdr:rowOff>161925</xdr:rowOff>
    </xdr:from>
    <xdr:ext cx="633763" cy="297004"/>
    <xdr:sp macro="" textlink="">
      <xdr:nvSpPr>
        <xdr:cNvPr id="55" name="54 CuadroTexto">
          <a:hlinkClick xmlns:r="http://schemas.openxmlformats.org/officeDocument/2006/relationships" r:id="rId4" tooltip="Volver a la HOJA"/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/>
      </xdr:nvSpPr>
      <xdr:spPr>
        <a:xfrm>
          <a:off x="8067675" y="148085175"/>
          <a:ext cx="633763" cy="297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" sz="1200" b="1">
              <a:solidFill>
                <a:srgbClr val="FFFFCC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volver</a:t>
          </a:r>
        </a:p>
      </xdr:txBody>
    </xdr:sp>
    <xdr:clientData/>
  </xdr:oneCellAnchor>
  <xdr:twoCellAnchor editAs="oneCell">
    <xdr:from>
      <xdr:col>10</xdr:col>
      <xdr:colOff>676276</xdr:colOff>
      <xdr:row>4</xdr:row>
      <xdr:rowOff>266700</xdr:rowOff>
    </xdr:from>
    <xdr:to>
      <xdr:col>13</xdr:col>
      <xdr:colOff>131066</xdr:colOff>
      <xdr:row>12</xdr:row>
      <xdr:rowOff>28575</xdr:rowOff>
    </xdr:to>
    <xdr:pic>
      <xdr:nvPicPr>
        <xdr:cNvPr id="25" name="Picture 43">
          <a:hlinkClick xmlns:r="http://schemas.openxmlformats.org/officeDocument/2006/relationships" r:id="rId3" tooltip="recomendación"/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duotone>
            <a:schemeClr val="bg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6210301" y="1390650"/>
          <a:ext cx="1902715" cy="1628775"/>
        </a:xfrm>
        <a:prstGeom prst="rect">
          <a:avLst/>
        </a:prstGeom>
        <a:noFill/>
        <a:effectLst/>
      </xdr:spPr>
    </xdr:pic>
    <xdr:clientData/>
  </xdr:twoCellAnchor>
  <xdr:twoCellAnchor editAs="oneCell">
    <xdr:from>
      <xdr:col>3</xdr:col>
      <xdr:colOff>145463</xdr:colOff>
      <xdr:row>13</xdr:row>
      <xdr:rowOff>30307</xdr:rowOff>
    </xdr:from>
    <xdr:to>
      <xdr:col>4</xdr:col>
      <xdr:colOff>26871</xdr:colOff>
      <xdr:row>13</xdr:row>
      <xdr:rowOff>246307</xdr:rowOff>
    </xdr:to>
    <xdr:pic>
      <xdr:nvPicPr>
        <xdr:cNvPr id="27" name="Picture 4" descr="EDITOR">
          <a:hlinkClick xmlns:r="http://schemas.openxmlformats.org/officeDocument/2006/relationships" r:id="rId11" tooltip="contactar por e-mail"/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1164638" y="3230707"/>
          <a:ext cx="557683" cy="216000"/>
        </a:xfrm>
        <a:prstGeom prst="rect">
          <a:avLst/>
        </a:prstGeom>
        <a:noFill/>
        <a:ln w="76200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10</xdr:col>
      <xdr:colOff>485775</xdr:colOff>
      <xdr:row>13</xdr:row>
      <xdr:rowOff>19050</xdr:rowOff>
    </xdr:from>
    <xdr:to>
      <xdr:col>11</xdr:col>
      <xdr:colOff>618995</xdr:colOff>
      <xdr:row>13</xdr:row>
      <xdr:rowOff>238098</xdr:rowOff>
    </xdr:to>
    <xdr:pic>
      <xdr:nvPicPr>
        <xdr:cNvPr id="4" name="3 Imagen">
          <a:hlinkClick xmlns:r="http://schemas.openxmlformats.org/officeDocument/2006/relationships" r:id="rId12" tooltip="INFORMACIÓN GENERAL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019800" y="3219450"/>
          <a:ext cx="1038095" cy="2190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180975</xdr:colOff>
      <xdr:row>3</xdr:row>
      <xdr:rowOff>76200</xdr:rowOff>
    </xdr:from>
    <xdr:ext cx="2441694" cy="731932"/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8905875" y="504825"/>
          <a:ext cx="2441694" cy="731932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s-ES" sz="1050" b="1">
              <a:solidFill>
                <a:srgbClr val="C00000"/>
              </a:solidFill>
              <a:latin typeface="Segoe UI" pitchFamily="34" charset="0"/>
              <a:cs typeface="Segoe UI" pitchFamily="34" charset="0"/>
            </a:rPr>
            <a:t>Importante:</a:t>
          </a:r>
          <a:r>
            <a:rPr lang="es-ES" sz="1050" b="1" baseline="0">
              <a:solidFill>
                <a:srgbClr val="C00000"/>
              </a:solidFill>
              <a:latin typeface="Segoe UI" pitchFamily="34" charset="0"/>
              <a:cs typeface="Segoe UI" pitchFamily="34" charset="0"/>
            </a:rPr>
            <a:t> orden de los años</a:t>
          </a:r>
        </a:p>
        <a:p>
          <a:r>
            <a:rPr lang="es-ES" sz="900" b="0" baseline="0">
              <a:solidFill>
                <a:sysClr val="windowText" lastClr="000000"/>
              </a:solidFill>
              <a:latin typeface="Segoe UI" pitchFamily="34" charset="0"/>
              <a:cs typeface="Segoe UI" pitchFamily="34" charset="0"/>
            </a:rPr>
            <a:t>El libro sigue el criterio muy usual de poner</a:t>
          </a:r>
        </a:p>
        <a:p>
          <a:r>
            <a:rPr lang="es-ES" sz="900" b="0" baseline="0">
              <a:solidFill>
                <a:sysClr val="windowText" lastClr="000000"/>
              </a:solidFill>
              <a:latin typeface="Segoe UI" pitchFamily="34" charset="0"/>
              <a:cs typeface="Segoe UI" pitchFamily="34" charset="0"/>
            </a:rPr>
            <a:t>el ejercicio más reciente a la izquierda, en la </a:t>
          </a:r>
        </a:p>
        <a:p>
          <a:r>
            <a:rPr lang="es-ES" sz="900" b="0" baseline="0">
              <a:solidFill>
                <a:sysClr val="windowText" lastClr="000000"/>
              </a:solidFill>
              <a:latin typeface="Segoe UI" pitchFamily="34" charset="0"/>
              <a:cs typeface="Segoe UI" pitchFamily="34" charset="0"/>
            </a:rPr>
            <a:t>primera columna, y el resto a la derecha.</a:t>
          </a:r>
        </a:p>
      </xdr:txBody>
    </xdr:sp>
    <xdr:clientData/>
  </xdr:oneCellAnchor>
  <xdr:twoCellAnchor editAs="oneCell">
    <xdr:from>
      <xdr:col>2</xdr:col>
      <xdr:colOff>47625</xdr:colOff>
      <xdr:row>2</xdr:row>
      <xdr:rowOff>82550</xdr:rowOff>
    </xdr:from>
    <xdr:to>
      <xdr:col>2</xdr:col>
      <xdr:colOff>231225</xdr:colOff>
      <xdr:row>2</xdr:row>
      <xdr:rowOff>244550</xdr:rowOff>
    </xdr:to>
    <xdr:pic>
      <xdr:nvPicPr>
        <xdr:cNvPr id="8" name="7 Imagen">
          <a:hlinkClick xmlns:r="http://schemas.openxmlformats.org/officeDocument/2006/relationships" r:id="rId1" tooltip="Ir a la hoja ANTERIOR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95275" y="196850"/>
          <a:ext cx="183600" cy="16200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</xdr:colOff>
      <xdr:row>2</xdr:row>
      <xdr:rowOff>85725</xdr:rowOff>
    </xdr:from>
    <xdr:to>
      <xdr:col>3</xdr:col>
      <xdr:colOff>209625</xdr:colOff>
      <xdr:row>2</xdr:row>
      <xdr:rowOff>247725</xdr:rowOff>
    </xdr:to>
    <xdr:pic>
      <xdr:nvPicPr>
        <xdr:cNvPr id="9" name="8 Imagen">
          <a:hlinkClick xmlns:r="http://schemas.openxmlformats.org/officeDocument/2006/relationships" r:id="rId3" tooltip="VOLVER al inicio dela hoja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42925" y="200025"/>
          <a:ext cx="162000" cy="16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22225</xdr:colOff>
      <xdr:row>2</xdr:row>
      <xdr:rowOff>88901</xdr:rowOff>
    </xdr:from>
    <xdr:to>
      <xdr:col>12</xdr:col>
      <xdr:colOff>205825</xdr:colOff>
      <xdr:row>2</xdr:row>
      <xdr:rowOff>250901</xdr:rowOff>
    </xdr:to>
    <xdr:pic>
      <xdr:nvPicPr>
        <xdr:cNvPr id="10" name="9 Imagen">
          <a:hlinkClick xmlns:r="http://schemas.openxmlformats.org/officeDocument/2006/relationships" r:id="rId5" tooltip="Ir a la hoja SIGUIENTE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747125" y="203201"/>
          <a:ext cx="183600" cy="16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8</xdr:row>
      <xdr:rowOff>85725</xdr:rowOff>
    </xdr:from>
    <xdr:to>
      <xdr:col>15</xdr:col>
      <xdr:colOff>513103</xdr:colOff>
      <xdr:row>16</xdr:row>
      <xdr:rowOff>114300</xdr:rowOff>
    </xdr:to>
    <xdr:pic>
      <xdr:nvPicPr>
        <xdr:cNvPr id="12" name="Picture 43">
          <a:hlinkClick xmlns:r="http://schemas.openxmlformats.org/officeDocument/2006/relationships" r:id="rId7" tooltip="recomendación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duotone>
            <a:schemeClr val="bg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8848725" y="1228725"/>
          <a:ext cx="1724683" cy="1476375"/>
        </a:xfrm>
        <a:prstGeom prst="rect">
          <a:avLst/>
        </a:prstGeom>
        <a:noFill/>
        <a:effectLst/>
      </xdr:spPr>
    </xdr:pic>
    <xdr:clientData/>
  </xdr:twoCellAnchor>
  <xdr:twoCellAnchor editAs="oneCell">
    <xdr:from>
      <xdr:col>10</xdr:col>
      <xdr:colOff>619126</xdr:colOff>
      <xdr:row>2</xdr:row>
      <xdr:rowOff>76200</xdr:rowOff>
    </xdr:from>
    <xdr:to>
      <xdr:col>11</xdr:col>
      <xdr:colOff>664140</xdr:colOff>
      <xdr:row>2</xdr:row>
      <xdr:rowOff>250485</xdr:rowOff>
    </xdr:to>
    <xdr:pic>
      <xdr:nvPicPr>
        <xdr:cNvPr id="3" name="2 Imagen">
          <a:hlinkClick xmlns:r="http://schemas.openxmlformats.org/officeDocument/2006/relationships" r:id="rId9" tooltip="Información - Uso de la hoja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667626" y="190500"/>
          <a:ext cx="877499" cy="18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101600</xdr:colOff>
      <xdr:row>21</xdr:row>
      <xdr:rowOff>25400</xdr:rowOff>
    </xdr:from>
    <xdr:to>
      <xdr:col>17</xdr:col>
      <xdr:colOff>132080</xdr:colOff>
      <xdr:row>33</xdr:row>
      <xdr:rowOff>38099</xdr:rowOff>
    </xdr:to>
    <xdr:sp macro="" textlink="">
      <xdr:nvSpPr>
        <xdr:cNvPr id="94236" name="Text Box 28">
          <a:extLst>
            <a:ext uri="{FF2B5EF4-FFF2-40B4-BE49-F238E27FC236}">
              <a16:creationId xmlns:a16="http://schemas.microsoft.com/office/drawing/2014/main" id="{00000000-0008-0000-0300-00001C700100}"/>
            </a:ext>
          </a:extLst>
        </xdr:cNvPr>
        <xdr:cNvSpPr txBox="1">
          <a:spLocks noChangeArrowheads="1"/>
        </xdr:cNvSpPr>
      </xdr:nvSpPr>
      <xdr:spPr bwMode="auto">
        <a:xfrm>
          <a:off x="4927600" y="5016500"/>
          <a:ext cx="7251700" cy="2857499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square" lIns="180000" tIns="82800" rIns="90000" bIns="46800" anchor="t" upright="1"/>
        <a:lstStyle/>
        <a:p>
          <a:pPr algn="l" rtl="0">
            <a:defRPr sz="1000"/>
          </a:pPr>
          <a:r>
            <a:rPr lang="es-ES" sz="1200" b="1" i="0" u="none" strike="noStrike" baseline="0">
              <a:solidFill>
                <a:srgbClr val="993300"/>
              </a:solidFill>
              <a:latin typeface="Tahoma"/>
              <a:ea typeface="Tahoma"/>
              <a:cs typeface="Tahoma"/>
            </a:rPr>
            <a:t> </a:t>
          </a:r>
          <a:r>
            <a:rPr lang="es-ES" sz="1400" b="1" i="0" u="none" strike="noStrike" baseline="0">
              <a:solidFill>
                <a:srgbClr val="C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Aquí puedes hacer el análisis de 4 puntos básicos del balance que quieras</a:t>
          </a:r>
          <a:endParaRPr lang="es-ES" sz="1100" b="1" i="0" u="none" strike="noStrike" baseline="0">
            <a:solidFill>
              <a:srgbClr val="C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l" rtl="0">
            <a:defRPr sz="1000"/>
          </a:pPr>
          <a:r>
            <a:rPr lang="es-ES" sz="1100" b="1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100" b="1" i="0" u="none" strike="noStrike" baseline="0">
              <a:solidFill>
                <a:srgbClr val="3333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0" i="0" u="none" strike="noStrike" baseline="0">
              <a:solidFill>
                <a:srgbClr val="3333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Para ello sólo tienes que elegir el balance (celda superior izquierda).</a:t>
          </a:r>
        </a:p>
        <a:p>
          <a:pPr algn="l" rtl="0">
            <a:defRPr sz="1000"/>
          </a:pPr>
          <a:endParaRPr lang="es-ES" sz="1100" b="0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l" rtl="0">
            <a:defRPr sz="1000"/>
          </a:pPr>
          <a:r>
            <a:rPr lang="es-ES" sz="11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0" i="1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El análisis se basa en parámetros generales (tómalos sólo como una referencia) y los puntos son: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1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1- LIQUIDEZ:</a:t>
          </a:r>
          <a:r>
            <a:rPr lang="es-ES" sz="12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0" i="1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Capacidad de la empresa para hacer frente a sus deudas a corto y medio plazo.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1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2- CAPITALIZACIÓN: </a:t>
          </a:r>
          <a:r>
            <a:rPr lang="es-ES" sz="1200" b="0" i="1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Proporción de fondos propios respecto a las deudas de la empresa.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1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3- ENDEUDAMIENTO: </a:t>
          </a:r>
          <a:r>
            <a:rPr lang="es-ES" sz="1200" b="0" i="1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Volumen de deudas en relación a los fondos propios.</a:t>
          </a:r>
        </a:p>
        <a:p>
          <a:pPr algn="l" rtl="0">
            <a:defRPr sz="1000"/>
          </a:pPr>
          <a:r>
            <a:rPr lang="es-ES" sz="12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1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4- GARANTÍA:</a:t>
          </a:r>
          <a:r>
            <a:rPr lang="es-ES" sz="12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s-ES" sz="1200" b="0" i="1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Son las garantías patrimoniales que la empresa ofrece a sus acreedores, dato</a:t>
          </a:r>
        </a:p>
        <a:p>
          <a:pPr algn="l" rtl="0">
            <a:defRPr sz="1000"/>
          </a:pPr>
          <a:r>
            <a:rPr lang="es-ES" sz="1200" b="0" i="1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importante también para la obtención de financiación.</a:t>
          </a:r>
          <a:endParaRPr lang="es-ES" sz="800" b="0" i="1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l" rtl="0">
            <a:defRPr sz="1000"/>
          </a:pPr>
          <a:r>
            <a:rPr lang="es-ES" sz="800" b="0" i="0" u="none" strike="noStrike" baseline="0">
              <a:solidFill>
                <a:srgbClr val="000000"/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 </a:t>
          </a:r>
        </a:p>
        <a:p>
          <a:pPr algn="l" rtl="0">
            <a:defRPr sz="1000"/>
          </a:pPr>
          <a:r>
            <a:rPr lang="es-ES" sz="1400" b="1" i="1" u="none" strike="noStrike" baseline="0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Esta es sólo una visión rápida que puede ser imprecisa y que debes completar </a:t>
          </a:r>
        </a:p>
        <a:p>
          <a:pPr algn="l" rtl="0">
            <a:defRPr sz="1000"/>
          </a:pPr>
          <a:r>
            <a:rPr lang="es-ES" sz="1400" b="1" i="1" u="none" strike="noStrike" baseline="0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ea typeface="Segoe UI" panose="020B0502040204020203" pitchFamily="34" charset="0"/>
              <a:cs typeface="Segoe UI" panose="020B0502040204020203" pitchFamily="34" charset="0"/>
            </a:rPr>
            <a:t>con el resto del análisis.</a:t>
          </a:r>
          <a:endParaRPr lang="es-ES" sz="1200" b="1" i="1" u="none" strike="noStrike" baseline="0">
            <a:solidFill>
              <a:schemeClr val="accent6">
                <a:lumMod val="50000"/>
              </a:schemeClr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l" rtl="0">
            <a:defRPr sz="1000"/>
          </a:pPr>
          <a:r>
            <a:rPr lang="es-ES" sz="1100" b="1" i="1" u="none" strike="noStrike" baseline="0">
              <a:solidFill>
                <a:schemeClr val="accent6">
                  <a:lumMod val="50000"/>
                </a:schemeClr>
              </a:solidFill>
              <a:latin typeface="Tahoma"/>
              <a:ea typeface="Tahoma"/>
              <a:cs typeface="Tahoma"/>
            </a:rPr>
            <a:t>  </a:t>
          </a:r>
        </a:p>
      </xdr:txBody>
    </xdr:sp>
    <xdr:clientData/>
  </xdr:twoCellAnchor>
  <xdr:twoCellAnchor editAs="absolute">
    <xdr:from>
      <xdr:col>2</xdr:col>
      <xdr:colOff>228600</xdr:colOff>
      <xdr:row>19</xdr:row>
      <xdr:rowOff>114300</xdr:rowOff>
    </xdr:from>
    <xdr:to>
      <xdr:col>4</xdr:col>
      <xdr:colOff>1884680</xdr:colOff>
      <xdr:row>33</xdr:row>
      <xdr:rowOff>20320</xdr:rowOff>
    </xdr:to>
    <xdr:graphicFrame macro="">
      <xdr:nvGraphicFramePr>
        <xdr:cNvPr id="94239" name="Chart 31">
          <a:extLst>
            <a:ext uri="{FF2B5EF4-FFF2-40B4-BE49-F238E27FC236}">
              <a16:creationId xmlns:a16="http://schemas.microsoft.com/office/drawing/2014/main" id="{00000000-0008-0000-0300-00001F70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1617980</xdr:colOff>
      <xdr:row>19</xdr:row>
      <xdr:rowOff>134620</xdr:rowOff>
    </xdr:from>
    <xdr:to>
      <xdr:col>7</xdr:col>
      <xdr:colOff>114300</xdr:colOff>
      <xdr:row>32</xdr:row>
      <xdr:rowOff>20320</xdr:rowOff>
    </xdr:to>
    <xdr:graphicFrame macro="">
      <xdr:nvGraphicFramePr>
        <xdr:cNvPr id="94240" name="Chart 32">
          <a:extLst>
            <a:ext uri="{FF2B5EF4-FFF2-40B4-BE49-F238E27FC236}">
              <a16:creationId xmlns:a16="http://schemas.microsoft.com/office/drawing/2014/main" id="{00000000-0008-0000-0300-00002070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50800</xdr:colOff>
      <xdr:row>1</xdr:row>
      <xdr:rowOff>98425</xdr:rowOff>
    </xdr:from>
    <xdr:to>
      <xdr:col>3</xdr:col>
      <xdr:colOff>21275</xdr:colOff>
      <xdr:row>1</xdr:row>
      <xdr:rowOff>307225</xdr:rowOff>
    </xdr:to>
    <xdr:pic>
      <xdr:nvPicPr>
        <xdr:cNvPr id="8" name="7 Imagen">
          <a:hlinkClick xmlns:r="http://schemas.openxmlformats.org/officeDocument/2006/relationships" r:id="rId3" tooltip="Ir a la hoja ANTERIOR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68300" y="263525"/>
          <a:ext cx="234000" cy="208800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</xdr:colOff>
      <xdr:row>1</xdr:row>
      <xdr:rowOff>104776</xdr:rowOff>
    </xdr:from>
    <xdr:to>
      <xdr:col>16</xdr:col>
      <xdr:colOff>245430</xdr:colOff>
      <xdr:row>1</xdr:row>
      <xdr:rowOff>325006</xdr:rowOff>
    </xdr:to>
    <xdr:pic>
      <xdr:nvPicPr>
        <xdr:cNvPr id="9" name="8 Imagen">
          <a:hlinkClick xmlns:r="http://schemas.openxmlformats.org/officeDocument/2006/relationships" r:id="rId5" tooltip="Ir a la hoja SIGUIENTE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1741150" y="269876"/>
          <a:ext cx="234000" cy="208800"/>
        </a:xfrm>
        <a:prstGeom prst="rect">
          <a:avLst/>
        </a:prstGeom>
      </xdr:spPr>
    </xdr:pic>
    <xdr:clientData/>
  </xdr:twoCellAnchor>
  <xdr:twoCellAnchor editAs="oneCell">
    <xdr:from>
      <xdr:col>15</xdr:col>
      <xdr:colOff>1397000</xdr:colOff>
      <xdr:row>8</xdr:row>
      <xdr:rowOff>203200</xdr:rowOff>
    </xdr:from>
    <xdr:to>
      <xdr:col>22</xdr:col>
      <xdr:colOff>132033</xdr:colOff>
      <xdr:row>16</xdr:row>
      <xdr:rowOff>170180</xdr:rowOff>
    </xdr:to>
    <xdr:pic>
      <xdr:nvPicPr>
        <xdr:cNvPr id="11" name="Picture 43">
          <a:hlinkClick xmlns:r="http://schemas.openxmlformats.org/officeDocument/2006/relationships" r:id="rId7" tooltip="recomendación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duotone>
            <a:schemeClr val="bg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11518900" y="1968500"/>
          <a:ext cx="2240233" cy="1917700"/>
        </a:xfrm>
        <a:prstGeom prst="rect">
          <a:avLst/>
        </a:prstGeom>
        <a:noFill/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78992</xdr:colOff>
      <xdr:row>10</xdr:row>
      <xdr:rowOff>52788</xdr:rowOff>
    </xdr:from>
    <xdr:ext cx="1175515" cy="284950"/>
    <xdr:sp macro="" textlink="">
      <xdr:nvSpPr>
        <xdr:cNvPr id="56334" name="Text Box 14">
          <a:hlinkClick xmlns:r="http://schemas.openxmlformats.org/officeDocument/2006/relationships" r:id="rId1" tooltip="¿Qué es? Como se calcula y como interpretarlo"/>
          <a:extLst>
            <a:ext uri="{FF2B5EF4-FFF2-40B4-BE49-F238E27FC236}">
              <a16:creationId xmlns:a16="http://schemas.microsoft.com/office/drawing/2014/main" id="{00000000-0008-0000-0400-00000EDC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6771892" y="2300688"/>
          <a:ext cx="1175515" cy="2849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none" lIns="27432" tIns="22860" rIns="27432" bIns="22860" anchor="ctr" upright="1">
          <a:spAutoFit/>
        </a:bodyPr>
        <a:lstStyle/>
        <a:p>
          <a:pPr algn="ctr" rtl="0">
            <a:defRPr sz="1000"/>
          </a:pPr>
          <a:r>
            <a:rPr lang="es-ES" sz="1400" b="0" i="0" u="sng" strike="noStrike" baseline="0">
              <a:solidFill>
                <a:srgbClr val="C00000"/>
              </a:solidFill>
              <a:latin typeface="Segoe UI" pitchFamily="34" charset="0"/>
              <a:ea typeface="Tahoma"/>
              <a:cs typeface="Segoe UI" pitchFamily="34" charset="0"/>
            </a:rPr>
            <a:t>+ información</a:t>
          </a:r>
        </a:p>
      </xdr:txBody>
    </xdr:sp>
    <xdr:clientData/>
  </xdr:oneCellAnchor>
  <xdr:oneCellAnchor>
    <xdr:from>
      <xdr:col>10</xdr:col>
      <xdr:colOff>86273</xdr:colOff>
      <xdr:row>4</xdr:row>
      <xdr:rowOff>17863</xdr:rowOff>
    </xdr:from>
    <xdr:ext cx="1180002" cy="284950"/>
    <xdr:sp macro="" textlink="">
      <xdr:nvSpPr>
        <xdr:cNvPr id="56339" name="Text Box 19">
          <a:hlinkClick xmlns:r="http://schemas.openxmlformats.org/officeDocument/2006/relationships" r:id="rId2" tooltip="¿Qué es? Como se calcula y como interpretarlo"/>
          <a:extLst>
            <a:ext uri="{FF2B5EF4-FFF2-40B4-BE49-F238E27FC236}">
              <a16:creationId xmlns:a16="http://schemas.microsoft.com/office/drawing/2014/main" id="{00000000-0008-0000-0400-000013DC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6779173" y="1046563"/>
          <a:ext cx="1180002" cy="2849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none" lIns="27432" tIns="22860" rIns="27432" bIns="22860" anchor="ctr" upright="1">
          <a:spAutoFit/>
        </a:bodyPr>
        <a:lstStyle/>
        <a:p>
          <a:pPr algn="ctr" rtl="0">
            <a:defRPr sz="1000"/>
          </a:pPr>
          <a:r>
            <a:rPr lang="es-ES" sz="1400" b="1" i="0" u="sng" strike="noStrike" baseline="0">
              <a:solidFill>
                <a:srgbClr val="C00000"/>
              </a:solidFill>
              <a:latin typeface="Segoe UI" pitchFamily="34" charset="0"/>
              <a:ea typeface="Tahoma"/>
              <a:cs typeface="Segoe UI" pitchFamily="34" charset="0"/>
            </a:rPr>
            <a:t>+ </a:t>
          </a:r>
          <a:r>
            <a:rPr lang="es-ES" sz="1400" b="0" i="0" u="sng" strike="noStrike" baseline="0">
              <a:solidFill>
                <a:srgbClr val="C00000"/>
              </a:solidFill>
              <a:latin typeface="Segoe UI" pitchFamily="34" charset="0"/>
              <a:ea typeface="Tahoma"/>
              <a:cs typeface="Segoe UI" pitchFamily="34" charset="0"/>
            </a:rPr>
            <a:t>información</a:t>
          </a:r>
        </a:p>
      </xdr:txBody>
    </xdr:sp>
    <xdr:clientData/>
  </xdr:oneCellAnchor>
  <xdr:oneCellAnchor>
    <xdr:from>
      <xdr:col>10</xdr:col>
      <xdr:colOff>107567</xdr:colOff>
      <xdr:row>15</xdr:row>
      <xdr:rowOff>43263</xdr:rowOff>
    </xdr:from>
    <xdr:ext cx="1175515" cy="284950"/>
    <xdr:sp macro="" textlink="">
      <xdr:nvSpPr>
        <xdr:cNvPr id="56340" name="Text Box 20">
          <a:hlinkClick xmlns:r="http://schemas.openxmlformats.org/officeDocument/2006/relationships" r:id="rId3" tooltip="¿Qué es? Como se calcula y como interpretarlo"/>
          <a:extLst>
            <a:ext uri="{FF2B5EF4-FFF2-40B4-BE49-F238E27FC236}">
              <a16:creationId xmlns:a16="http://schemas.microsoft.com/office/drawing/2014/main" id="{00000000-0008-0000-0400-000014DC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6800467" y="3307163"/>
          <a:ext cx="1175515" cy="2849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none" lIns="27432" tIns="22860" rIns="27432" bIns="22860" anchor="ctr" upright="1">
          <a:spAutoFit/>
        </a:bodyPr>
        <a:lstStyle/>
        <a:p>
          <a:pPr algn="ctr" rtl="0">
            <a:defRPr sz="1000"/>
          </a:pPr>
          <a:r>
            <a:rPr lang="es-ES" sz="1400" b="0" i="0" u="sng" strike="noStrike" baseline="0">
              <a:solidFill>
                <a:srgbClr val="C00000"/>
              </a:solidFill>
              <a:latin typeface="Segoe UI" pitchFamily="34" charset="0"/>
              <a:ea typeface="Tahoma"/>
              <a:cs typeface="Segoe UI" pitchFamily="34" charset="0"/>
            </a:rPr>
            <a:t>+ información</a:t>
          </a:r>
        </a:p>
      </xdr:txBody>
    </xdr:sp>
    <xdr:clientData/>
  </xdr:oneCellAnchor>
  <xdr:oneCellAnchor>
    <xdr:from>
      <xdr:col>10</xdr:col>
      <xdr:colOff>107567</xdr:colOff>
      <xdr:row>20</xdr:row>
      <xdr:rowOff>43263</xdr:rowOff>
    </xdr:from>
    <xdr:ext cx="1175515" cy="284950"/>
    <xdr:sp macro="" textlink="">
      <xdr:nvSpPr>
        <xdr:cNvPr id="56341" name="Text Box 21">
          <a:hlinkClick xmlns:r="http://schemas.openxmlformats.org/officeDocument/2006/relationships" r:id="rId4" tooltip="¿Qué es? Como se calcula y como interpretarlo"/>
          <a:extLst>
            <a:ext uri="{FF2B5EF4-FFF2-40B4-BE49-F238E27FC236}">
              <a16:creationId xmlns:a16="http://schemas.microsoft.com/office/drawing/2014/main" id="{00000000-0008-0000-0400-000015DC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6800467" y="4323163"/>
          <a:ext cx="1175515" cy="2849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none" lIns="27432" tIns="22860" rIns="27432" bIns="22860" anchor="ctr" upright="1">
          <a:spAutoFit/>
        </a:bodyPr>
        <a:lstStyle/>
        <a:p>
          <a:pPr algn="ctr" rtl="0">
            <a:defRPr sz="1000"/>
          </a:pPr>
          <a:r>
            <a:rPr lang="es-ES" sz="1400" b="0" i="0" u="sng" strike="noStrike" baseline="0">
              <a:solidFill>
                <a:srgbClr val="C00000"/>
              </a:solidFill>
              <a:latin typeface="Segoe UI" pitchFamily="34" charset="0"/>
              <a:ea typeface="Tahoma"/>
              <a:cs typeface="Segoe UI" pitchFamily="34" charset="0"/>
            </a:rPr>
            <a:t>+ información</a:t>
          </a:r>
        </a:p>
      </xdr:txBody>
    </xdr:sp>
    <xdr:clientData/>
  </xdr:oneCellAnchor>
  <xdr:oneCellAnchor>
    <xdr:from>
      <xdr:col>10</xdr:col>
      <xdr:colOff>107567</xdr:colOff>
      <xdr:row>25</xdr:row>
      <xdr:rowOff>43263</xdr:rowOff>
    </xdr:from>
    <xdr:ext cx="1175515" cy="284950"/>
    <xdr:sp macro="" textlink="">
      <xdr:nvSpPr>
        <xdr:cNvPr id="56342" name="Text Box 22">
          <a:hlinkClick xmlns:r="http://schemas.openxmlformats.org/officeDocument/2006/relationships" r:id="rId5" tooltip="¿Qué es? Como se calcula y como interpretarlo"/>
          <a:extLst>
            <a:ext uri="{FF2B5EF4-FFF2-40B4-BE49-F238E27FC236}">
              <a16:creationId xmlns:a16="http://schemas.microsoft.com/office/drawing/2014/main" id="{00000000-0008-0000-0400-000016DC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6800467" y="5339163"/>
          <a:ext cx="1175515" cy="2849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none" lIns="27432" tIns="22860" rIns="27432" bIns="22860" anchor="ctr" upright="1">
          <a:spAutoFit/>
        </a:bodyPr>
        <a:lstStyle/>
        <a:p>
          <a:pPr algn="ctr" rtl="0">
            <a:defRPr sz="1000"/>
          </a:pPr>
          <a:r>
            <a:rPr lang="es-ES" sz="1400" b="0" i="0" u="sng" strike="noStrike" baseline="0">
              <a:solidFill>
                <a:srgbClr val="C00000"/>
              </a:solidFill>
              <a:latin typeface="Segoe UI" pitchFamily="34" charset="0"/>
              <a:ea typeface="Tahoma"/>
              <a:cs typeface="Segoe UI" pitchFamily="34" charset="0"/>
            </a:rPr>
            <a:t>+ información</a:t>
          </a:r>
        </a:p>
      </xdr:txBody>
    </xdr:sp>
    <xdr:clientData/>
  </xdr:oneCellAnchor>
  <xdr:oneCellAnchor>
    <xdr:from>
      <xdr:col>10</xdr:col>
      <xdr:colOff>107567</xdr:colOff>
      <xdr:row>30</xdr:row>
      <xdr:rowOff>43263</xdr:rowOff>
    </xdr:from>
    <xdr:ext cx="1175515" cy="284950"/>
    <xdr:sp macro="" textlink="">
      <xdr:nvSpPr>
        <xdr:cNvPr id="56343" name="Text Box 23">
          <a:hlinkClick xmlns:r="http://schemas.openxmlformats.org/officeDocument/2006/relationships" r:id="rId6" tooltip="¿Qué es? Como se calcula y como interpretarlo"/>
          <a:extLst>
            <a:ext uri="{FF2B5EF4-FFF2-40B4-BE49-F238E27FC236}">
              <a16:creationId xmlns:a16="http://schemas.microsoft.com/office/drawing/2014/main" id="{00000000-0008-0000-0400-000017DC0000}"/>
            </a:ext>
          </a:extLst>
        </xdr:cNvPr>
        <xdr:cNvSpPr txBox="1">
          <a:spLocks noChangeAspect="1" noChangeArrowheads="1"/>
        </xdr:cNvSpPr>
      </xdr:nvSpPr>
      <xdr:spPr bwMode="auto">
        <a:xfrm>
          <a:off x="6800467" y="6355163"/>
          <a:ext cx="1175515" cy="284950"/>
        </a:xfrm>
        <a:prstGeom prst="rect">
          <a:avLst/>
        </a:prstGeom>
        <a:noFill/>
        <a:ln w="9525" algn="ctr">
          <a:noFill/>
          <a:miter lim="800000"/>
          <a:headEnd/>
          <a:tailEnd/>
        </a:ln>
        <a:effectLst/>
      </xdr:spPr>
      <xdr:txBody>
        <a:bodyPr vertOverflow="clip" wrap="none" lIns="27432" tIns="22860" rIns="27432" bIns="22860" anchor="ctr" upright="1">
          <a:spAutoFit/>
        </a:bodyPr>
        <a:lstStyle/>
        <a:p>
          <a:pPr algn="ctr" rtl="0">
            <a:defRPr sz="1000"/>
          </a:pPr>
          <a:r>
            <a:rPr lang="es-ES" sz="1400" b="0" i="0" u="sng" strike="noStrike" baseline="0">
              <a:solidFill>
                <a:srgbClr val="C00000"/>
              </a:solidFill>
              <a:latin typeface="Segoe UI" pitchFamily="34" charset="0"/>
              <a:ea typeface="Tahoma"/>
              <a:cs typeface="Segoe UI" pitchFamily="34" charset="0"/>
            </a:rPr>
            <a:t>+ información</a:t>
          </a:r>
        </a:p>
      </xdr:txBody>
    </xdr:sp>
    <xdr:clientData/>
  </xdr:oneCellAnchor>
  <xdr:twoCellAnchor editAs="oneCell">
    <xdr:from>
      <xdr:col>2</xdr:col>
      <xdr:colOff>50800</xdr:colOff>
      <xdr:row>1</xdr:row>
      <xdr:rowOff>98425</xdr:rowOff>
    </xdr:from>
    <xdr:to>
      <xdr:col>3</xdr:col>
      <xdr:colOff>30800</xdr:colOff>
      <xdr:row>1</xdr:row>
      <xdr:rowOff>307225</xdr:rowOff>
    </xdr:to>
    <xdr:pic>
      <xdr:nvPicPr>
        <xdr:cNvPr id="11" name="10 Imagen">
          <a:hlinkClick xmlns:r="http://schemas.openxmlformats.org/officeDocument/2006/relationships" r:id="rId7" tooltip="Ir a la hoja ANTERIOR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85800" y="263525"/>
          <a:ext cx="234000" cy="2088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3219449</xdr:colOff>
      <xdr:row>1</xdr:row>
      <xdr:rowOff>104776</xdr:rowOff>
    </xdr:from>
    <xdr:to>
      <xdr:col>13</xdr:col>
      <xdr:colOff>113349</xdr:colOff>
      <xdr:row>1</xdr:row>
      <xdr:rowOff>313576</xdr:rowOff>
    </xdr:to>
    <xdr:pic>
      <xdr:nvPicPr>
        <xdr:cNvPr id="12" name="11 Imagen">
          <a:hlinkClick xmlns:r="http://schemas.openxmlformats.org/officeDocument/2006/relationships" r:id="rId9" tooltip="Ir a la hoja SIGUIENTE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1715749" y="269876"/>
          <a:ext cx="234000" cy="2088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2882900</xdr:colOff>
      <xdr:row>3</xdr:row>
      <xdr:rowOff>76200</xdr:rowOff>
    </xdr:from>
    <xdr:to>
      <xdr:col>19</xdr:col>
      <xdr:colOff>17733</xdr:colOff>
      <xdr:row>12</xdr:row>
      <xdr:rowOff>190500</xdr:rowOff>
    </xdr:to>
    <xdr:pic>
      <xdr:nvPicPr>
        <xdr:cNvPr id="15" name="Picture 43">
          <a:hlinkClick xmlns:r="http://schemas.openxmlformats.org/officeDocument/2006/relationships" r:id="rId11" tooltip="recomendación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duotone>
            <a:schemeClr val="bg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11379200" y="850900"/>
          <a:ext cx="2240233" cy="1917700"/>
        </a:xfrm>
        <a:prstGeom prst="rect">
          <a:avLst/>
        </a:prstGeom>
        <a:noFill/>
        <a:effectLst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50801</xdr:colOff>
      <xdr:row>42</xdr:row>
      <xdr:rowOff>85725</xdr:rowOff>
    </xdr:from>
    <xdr:to>
      <xdr:col>9</xdr:col>
      <xdr:colOff>368301</xdr:colOff>
      <xdr:row>56</xdr:row>
      <xdr:rowOff>123825</xdr:rowOff>
    </xdr:to>
    <xdr:graphicFrame macro="">
      <xdr:nvGraphicFramePr>
        <xdr:cNvPr id="89090" name="Chart 2">
          <a:extLst>
            <a:ext uri="{FF2B5EF4-FFF2-40B4-BE49-F238E27FC236}">
              <a16:creationId xmlns:a16="http://schemas.microsoft.com/office/drawing/2014/main" id="{00000000-0008-0000-0500-0000025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317500</xdr:colOff>
      <xdr:row>41</xdr:row>
      <xdr:rowOff>171450</xdr:rowOff>
    </xdr:from>
    <xdr:to>
      <xdr:col>13</xdr:col>
      <xdr:colOff>127000</xdr:colOff>
      <xdr:row>56</xdr:row>
      <xdr:rowOff>127000</xdr:rowOff>
    </xdr:to>
    <xdr:graphicFrame macro="">
      <xdr:nvGraphicFramePr>
        <xdr:cNvPr id="89096" name="Chart 8">
          <a:extLst>
            <a:ext uri="{FF2B5EF4-FFF2-40B4-BE49-F238E27FC236}">
              <a16:creationId xmlns:a16="http://schemas.microsoft.com/office/drawing/2014/main" id="{00000000-0008-0000-0500-0000085C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50800</xdr:colOff>
      <xdr:row>1</xdr:row>
      <xdr:rowOff>98425</xdr:rowOff>
    </xdr:from>
    <xdr:to>
      <xdr:col>2</xdr:col>
      <xdr:colOff>284800</xdr:colOff>
      <xdr:row>1</xdr:row>
      <xdr:rowOff>307225</xdr:rowOff>
    </xdr:to>
    <xdr:pic>
      <xdr:nvPicPr>
        <xdr:cNvPr id="8" name="7 Imagen">
          <a:hlinkClick xmlns:r="http://schemas.openxmlformats.org/officeDocument/2006/relationships" r:id="rId3" tooltip="Ir a la hoja ANTERIOR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68300" y="263525"/>
          <a:ext cx="234000" cy="20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95249</xdr:colOff>
      <xdr:row>1</xdr:row>
      <xdr:rowOff>104776</xdr:rowOff>
    </xdr:from>
    <xdr:to>
      <xdr:col>14</xdr:col>
      <xdr:colOff>329249</xdr:colOff>
      <xdr:row>1</xdr:row>
      <xdr:rowOff>313576</xdr:rowOff>
    </xdr:to>
    <xdr:pic>
      <xdr:nvPicPr>
        <xdr:cNvPr id="9" name="8 Imagen">
          <a:hlinkClick xmlns:r="http://schemas.openxmlformats.org/officeDocument/2006/relationships" r:id="rId5" tooltip="Ir a la hoja SIGUIENTE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0420349" y="269876"/>
          <a:ext cx="234000" cy="208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12800</xdr:colOff>
      <xdr:row>1</xdr:row>
      <xdr:rowOff>89000</xdr:rowOff>
    </xdr:from>
    <xdr:to>
      <xdr:col>3</xdr:col>
      <xdr:colOff>246800</xdr:colOff>
      <xdr:row>1</xdr:row>
      <xdr:rowOff>323000</xdr:rowOff>
    </xdr:to>
    <xdr:pic>
      <xdr:nvPicPr>
        <xdr:cNvPr id="10" name="9 Imagen">
          <a:hlinkClick xmlns:r="http://schemas.openxmlformats.org/officeDocument/2006/relationships" r:id="rId7" tooltip="Ir a la hoja ANTERIOR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 rot="5400000">
          <a:off x="711300" y="254100"/>
          <a:ext cx="234000" cy="234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139700</xdr:colOff>
      <xdr:row>4</xdr:row>
      <xdr:rowOff>139700</xdr:rowOff>
    </xdr:from>
    <xdr:to>
      <xdr:col>17</xdr:col>
      <xdr:colOff>322533</xdr:colOff>
      <xdr:row>14</xdr:row>
      <xdr:rowOff>38100</xdr:rowOff>
    </xdr:to>
    <xdr:pic>
      <xdr:nvPicPr>
        <xdr:cNvPr id="12" name="Picture 43">
          <a:hlinkClick xmlns:r="http://schemas.openxmlformats.org/officeDocument/2006/relationships" r:id="rId8" tooltip="recomendación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duotone>
            <a:schemeClr val="bg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9829800" y="1244600"/>
          <a:ext cx="2240233" cy="1917700"/>
        </a:xfrm>
        <a:prstGeom prst="rect">
          <a:avLst/>
        </a:prstGeom>
        <a:noFill/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48</xdr:row>
      <xdr:rowOff>28575</xdr:rowOff>
    </xdr:from>
    <xdr:to>
      <xdr:col>9</xdr:col>
      <xdr:colOff>190500</xdr:colOff>
      <xdr:row>61</xdr:row>
      <xdr:rowOff>88900</xdr:rowOff>
    </xdr:to>
    <xdr:graphicFrame macro="">
      <xdr:nvGraphicFramePr>
        <xdr:cNvPr id="67586" name="Chart 2">
          <a:extLst>
            <a:ext uri="{FF2B5EF4-FFF2-40B4-BE49-F238E27FC236}">
              <a16:creationId xmlns:a16="http://schemas.microsoft.com/office/drawing/2014/main" id="{00000000-0008-0000-0600-0000020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53975</xdr:colOff>
      <xdr:row>61</xdr:row>
      <xdr:rowOff>9525</xdr:rowOff>
    </xdr:from>
    <xdr:to>
      <xdr:col>9</xdr:col>
      <xdr:colOff>92075</xdr:colOff>
      <xdr:row>74</xdr:row>
      <xdr:rowOff>9525</xdr:rowOff>
    </xdr:to>
    <xdr:graphicFrame macro="">
      <xdr:nvGraphicFramePr>
        <xdr:cNvPr id="67590" name="Chart 6">
          <a:extLst>
            <a:ext uri="{FF2B5EF4-FFF2-40B4-BE49-F238E27FC236}">
              <a16:creationId xmlns:a16="http://schemas.microsoft.com/office/drawing/2014/main" id="{00000000-0008-0000-0600-0000060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390525</xdr:colOff>
      <xdr:row>48</xdr:row>
      <xdr:rowOff>66675</xdr:rowOff>
    </xdr:from>
    <xdr:to>
      <xdr:col>13</xdr:col>
      <xdr:colOff>161925</xdr:colOff>
      <xdr:row>61</xdr:row>
      <xdr:rowOff>152400</xdr:rowOff>
    </xdr:to>
    <xdr:graphicFrame macro="">
      <xdr:nvGraphicFramePr>
        <xdr:cNvPr id="67591" name="Chart 7">
          <a:extLst>
            <a:ext uri="{FF2B5EF4-FFF2-40B4-BE49-F238E27FC236}">
              <a16:creationId xmlns:a16="http://schemas.microsoft.com/office/drawing/2014/main" id="{00000000-0008-0000-0600-0000070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168275</xdr:colOff>
      <xdr:row>61</xdr:row>
      <xdr:rowOff>50800</xdr:rowOff>
    </xdr:from>
    <xdr:to>
      <xdr:col>13</xdr:col>
      <xdr:colOff>177800</xdr:colOff>
      <xdr:row>75</xdr:row>
      <xdr:rowOff>53975</xdr:rowOff>
    </xdr:to>
    <xdr:graphicFrame macro="">
      <xdr:nvGraphicFramePr>
        <xdr:cNvPr id="67599" name="Chart 15">
          <a:extLst>
            <a:ext uri="{FF2B5EF4-FFF2-40B4-BE49-F238E27FC236}">
              <a16:creationId xmlns:a16="http://schemas.microsoft.com/office/drawing/2014/main" id="{00000000-0008-0000-0600-00000F0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114300</xdr:colOff>
      <xdr:row>74</xdr:row>
      <xdr:rowOff>114300</xdr:rowOff>
    </xdr:from>
    <xdr:to>
      <xdr:col>9</xdr:col>
      <xdr:colOff>254000</xdr:colOff>
      <xdr:row>89</xdr:row>
      <xdr:rowOff>38100</xdr:rowOff>
    </xdr:to>
    <xdr:graphicFrame macro="">
      <xdr:nvGraphicFramePr>
        <xdr:cNvPr id="67600" name="Chart 16">
          <a:extLst>
            <a:ext uri="{FF2B5EF4-FFF2-40B4-BE49-F238E27FC236}">
              <a16:creationId xmlns:a16="http://schemas.microsoft.com/office/drawing/2014/main" id="{00000000-0008-0000-0600-0000100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165100</xdr:colOff>
      <xdr:row>74</xdr:row>
      <xdr:rowOff>152400</xdr:rowOff>
    </xdr:from>
    <xdr:to>
      <xdr:col>13</xdr:col>
      <xdr:colOff>190500</xdr:colOff>
      <xdr:row>89</xdr:row>
      <xdr:rowOff>85725</xdr:rowOff>
    </xdr:to>
    <xdr:graphicFrame macro="">
      <xdr:nvGraphicFramePr>
        <xdr:cNvPr id="67601" name="Chart 17">
          <a:extLst>
            <a:ext uri="{FF2B5EF4-FFF2-40B4-BE49-F238E27FC236}">
              <a16:creationId xmlns:a16="http://schemas.microsoft.com/office/drawing/2014/main" id="{00000000-0008-0000-0600-0000110801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50800</xdr:colOff>
      <xdr:row>1</xdr:row>
      <xdr:rowOff>98425</xdr:rowOff>
    </xdr:from>
    <xdr:to>
      <xdr:col>2</xdr:col>
      <xdr:colOff>284800</xdr:colOff>
      <xdr:row>1</xdr:row>
      <xdr:rowOff>307225</xdr:rowOff>
    </xdr:to>
    <xdr:pic>
      <xdr:nvPicPr>
        <xdr:cNvPr id="11" name="10 Imagen">
          <a:hlinkClick xmlns:r="http://schemas.openxmlformats.org/officeDocument/2006/relationships" r:id="rId7" tooltip="Ir a la hoja ANTERIOR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368300" y="263525"/>
          <a:ext cx="234000" cy="208800"/>
        </a:xfrm>
        <a:prstGeom prst="rect">
          <a:avLst/>
        </a:prstGeom>
      </xdr:spPr>
    </xdr:pic>
    <xdr:clientData/>
  </xdr:twoCellAnchor>
  <xdr:twoCellAnchor editAs="oneCell">
    <xdr:from>
      <xdr:col>14</xdr:col>
      <xdr:colOff>95249</xdr:colOff>
      <xdr:row>1</xdr:row>
      <xdr:rowOff>104776</xdr:rowOff>
    </xdr:from>
    <xdr:to>
      <xdr:col>14</xdr:col>
      <xdr:colOff>329249</xdr:colOff>
      <xdr:row>1</xdr:row>
      <xdr:rowOff>313576</xdr:rowOff>
    </xdr:to>
    <xdr:pic>
      <xdr:nvPicPr>
        <xdr:cNvPr id="12" name="11 Imagen">
          <a:hlinkClick xmlns:r="http://schemas.openxmlformats.org/officeDocument/2006/relationships" r:id="rId9" tooltip="VOLVER al INICIO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0420349" y="269876"/>
          <a:ext cx="234000" cy="208800"/>
        </a:xfrm>
        <a:prstGeom prst="rect">
          <a:avLst/>
        </a:prstGeom>
      </xdr:spPr>
    </xdr:pic>
    <xdr:clientData/>
  </xdr:twoCellAnchor>
  <xdr:twoCellAnchor editAs="oneCell">
    <xdr:from>
      <xdr:col>3</xdr:col>
      <xdr:colOff>12800</xdr:colOff>
      <xdr:row>1</xdr:row>
      <xdr:rowOff>89000</xdr:rowOff>
    </xdr:from>
    <xdr:to>
      <xdr:col>3</xdr:col>
      <xdr:colOff>246800</xdr:colOff>
      <xdr:row>1</xdr:row>
      <xdr:rowOff>323000</xdr:rowOff>
    </xdr:to>
    <xdr:pic>
      <xdr:nvPicPr>
        <xdr:cNvPr id="13" name="12 Imagen">
          <a:hlinkClick xmlns:r="http://schemas.openxmlformats.org/officeDocument/2006/relationships" r:id="rId11" tooltip="Ir a la hoja ANTERIOR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 rot="5400000">
          <a:off x="711300" y="254100"/>
          <a:ext cx="234000" cy="234000"/>
        </a:xfrm>
        <a:prstGeom prst="rect">
          <a:avLst/>
        </a:prstGeom>
      </xdr:spPr>
    </xdr:pic>
    <xdr:clientData/>
  </xdr:twoCellAnchor>
  <xdr:twoCellAnchor editAs="oneCell">
    <xdr:from>
      <xdr:col>13</xdr:col>
      <xdr:colOff>139700</xdr:colOff>
      <xdr:row>4</xdr:row>
      <xdr:rowOff>139700</xdr:rowOff>
    </xdr:from>
    <xdr:to>
      <xdr:col>16</xdr:col>
      <xdr:colOff>690833</xdr:colOff>
      <xdr:row>15</xdr:row>
      <xdr:rowOff>165100</xdr:rowOff>
    </xdr:to>
    <xdr:pic>
      <xdr:nvPicPr>
        <xdr:cNvPr id="15" name="Picture 43">
          <a:hlinkClick xmlns:r="http://schemas.openxmlformats.org/officeDocument/2006/relationships" r:id="rId12" tooltip="recomendación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duotone>
            <a:schemeClr val="bg2">
              <a:shade val="45000"/>
              <a:satMod val="135000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9829800" y="1244600"/>
          <a:ext cx="2240233" cy="1917700"/>
        </a:xfrm>
        <a:prstGeom prst="rect">
          <a:avLst/>
        </a:prstGeom>
        <a:noFill/>
        <a:effectLst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561975</xdr:colOff>
      <xdr:row>34</xdr:row>
      <xdr:rowOff>152400</xdr:rowOff>
    </xdr:from>
    <xdr:to>
      <xdr:col>8</xdr:col>
      <xdr:colOff>200025</xdr:colOff>
      <xdr:row>37</xdr:row>
      <xdr:rowOff>95250</xdr:rowOff>
    </xdr:to>
    <xdr:sp macro="" textlink="">
      <xdr:nvSpPr>
        <xdr:cNvPr id="44034" name="Text Box 2">
          <a:extLst>
            <a:ext uri="{FF2B5EF4-FFF2-40B4-BE49-F238E27FC236}">
              <a16:creationId xmlns:a16="http://schemas.microsoft.com/office/drawing/2014/main" id="{00000000-0008-0000-0700-000002AC0000}"/>
            </a:ext>
          </a:extLst>
        </xdr:cNvPr>
        <xdr:cNvSpPr txBox="1">
          <a:spLocks noChangeArrowheads="1"/>
        </xdr:cNvSpPr>
      </xdr:nvSpPr>
      <xdr:spPr bwMode="auto">
        <a:xfrm>
          <a:off x="2962275" y="1609725"/>
          <a:ext cx="3590925" cy="428625"/>
        </a:xfrm>
        <a:prstGeom prst="rect">
          <a:avLst/>
        </a:prstGeom>
        <a:solidFill>
          <a:srgbClr val="FFCC99"/>
        </a:solidFill>
        <a:ln w="9525" algn="ctr">
          <a:solidFill>
            <a:srgbClr val="C0C0C0"/>
          </a:solidFill>
          <a:miter lim="800000"/>
          <a:headEnd/>
          <a:tailEnd/>
        </a:ln>
        <a:effectLst/>
      </xdr:spPr>
      <xdr:txBody>
        <a:bodyPr vertOverflow="clip" wrap="square" lIns="108000" tIns="46800" rIns="90000" bIns="46800" anchor="t" upright="1"/>
        <a:lstStyle/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No suprimas esta hoja o el libro no funcionará correctamente. </a:t>
          </a:r>
        </a:p>
        <a:p>
          <a:pPr algn="ctr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Haz las modificaciones que desees en las demás hojas</a:t>
          </a:r>
        </a:p>
      </xdr:txBody>
    </xdr:sp>
    <xdr:clientData/>
  </xdr:twoCellAnchor>
  <xdr:twoCellAnchor>
    <xdr:from>
      <xdr:col>4</xdr:col>
      <xdr:colOff>561975</xdr:colOff>
      <xdr:row>37</xdr:row>
      <xdr:rowOff>114300</xdr:rowOff>
    </xdr:from>
    <xdr:to>
      <xdr:col>8</xdr:col>
      <xdr:colOff>200025</xdr:colOff>
      <xdr:row>45</xdr:row>
      <xdr:rowOff>95250</xdr:rowOff>
    </xdr:to>
    <xdr:sp macro="" textlink="">
      <xdr:nvSpPr>
        <xdr:cNvPr id="44035" name="Text Box 3">
          <a:extLst>
            <a:ext uri="{FF2B5EF4-FFF2-40B4-BE49-F238E27FC236}">
              <a16:creationId xmlns:a16="http://schemas.microsoft.com/office/drawing/2014/main" id="{00000000-0008-0000-0700-000003AC0000}"/>
            </a:ext>
          </a:extLst>
        </xdr:cNvPr>
        <xdr:cNvSpPr txBox="1">
          <a:spLocks noChangeArrowheads="1"/>
        </xdr:cNvSpPr>
      </xdr:nvSpPr>
      <xdr:spPr bwMode="auto">
        <a:xfrm>
          <a:off x="2962275" y="2057400"/>
          <a:ext cx="3590925" cy="1276350"/>
        </a:xfrm>
        <a:prstGeom prst="rect">
          <a:avLst/>
        </a:prstGeom>
        <a:noFill/>
        <a:ln w="9525" algn="ctr">
          <a:solidFill>
            <a:srgbClr val="C0C0C0"/>
          </a:solidFill>
          <a:miter lim="800000"/>
          <a:headEnd/>
          <a:tailEnd/>
        </a:ln>
        <a:effectLst/>
      </xdr:spPr>
      <xdr:txBody>
        <a:bodyPr vertOverflow="clip" wrap="square" lIns="72000" tIns="46800" rIns="90000" bIns="46800" anchor="t" upright="1"/>
        <a:lstStyle/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© e.ditor consulting s.l. y los autores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La venta, comercialización o distribución por cualquier medio, soporte o formato no está permitida sin el permiso previo y por escrito de sus autores. 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</a:t>
          </a:r>
        </a:p>
        <a:p>
          <a:pPr algn="l" rtl="0">
            <a:defRPr sz="1000"/>
          </a:pPr>
          <a:r>
            <a:rPr lang="es-ES" sz="10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          Contacto: info@e.ditor.com</a:t>
          </a:r>
        </a:p>
        <a:p>
          <a:pPr algn="l" rtl="0">
            <a:defRPr sz="1000"/>
          </a:pPr>
          <a:endParaRPr lang="es-ES" sz="1000" b="0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</xdr:txBody>
    </xdr:sp>
    <xdr:clientData/>
  </xdr:twoCellAnchor>
  <xdr:twoCellAnchor>
    <xdr:from>
      <xdr:col>4</xdr:col>
      <xdr:colOff>123825</xdr:colOff>
      <xdr:row>35</xdr:row>
      <xdr:rowOff>142875</xdr:rowOff>
    </xdr:from>
    <xdr:to>
      <xdr:col>4</xdr:col>
      <xdr:colOff>676275</xdr:colOff>
      <xdr:row>39</xdr:row>
      <xdr:rowOff>28575</xdr:rowOff>
    </xdr:to>
    <xdr:pic>
      <xdr:nvPicPr>
        <xdr:cNvPr id="44036" name="Picture 4" descr="attention_niels_epting_01">
          <a:extLst>
            <a:ext uri="{FF2B5EF4-FFF2-40B4-BE49-F238E27FC236}">
              <a16:creationId xmlns:a16="http://schemas.microsoft.com/office/drawing/2014/main" id="{00000000-0008-0000-0700-000004A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24125" y="1762125"/>
          <a:ext cx="552450" cy="533400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\E.DITOR\PRODUCTES%20ENTREGATS\7%20PACKS\F%20ANALISIS%20BALANCES%20Y%20EF\PACK20v3%20ANALISIS%20DE%20BALANCES\PACK20v4%20An&#225;lisis%20Balances\PACK20e03v4%20AnBalances\originals\PE166%20AInversion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"/>
      <sheetName val="calc1a"/>
      <sheetName val="1"/>
      <sheetName val="1a"/>
      <sheetName val="1b"/>
      <sheetName val="2"/>
      <sheetName val="2a "/>
      <sheetName val="2b"/>
      <sheetName val="2c"/>
      <sheetName val="2d"/>
      <sheetName val="2e"/>
      <sheetName val="3"/>
      <sheetName val="3a"/>
      <sheetName val="3b"/>
      <sheetName val="3c"/>
      <sheetName val="3d"/>
      <sheetName val="3e"/>
      <sheetName val="INFO"/>
      <sheetName val="S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8">
          <cell r="B8" t="str">
            <v>3 años</v>
          </cell>
        </row>
        <row r="9">
          <cell r="B9" t="str">
            <v>4 años</v>
          </cell>
        </row>
        <row r="10">
          <cell r="B10" t="str">
            <v>5 años</v>
          </cell>
        </row>
        <row r="11">
          <cell r="B11" t="str">
            <v>6 años</v>
          </cell>
        </row>
        <row r="12">
          <cell r="B12" t="str">
            <v>7 años</v>
          </cell>
        </row>
        <row r="13">
          <cell r="B13" t="str">
            <v>8 años</v>
          </cell>
        </row>
        <row r="14">
          <cell r="B14" t="str">
            <v>9 años</v>
          </cell>
        </row>
        <row r="15">
          <cell r="B15" t="str">
            <v>10 años</v>
          </cell>
        </row>
        <row r="16">
          <cell r="B16" t="str">
            <v>11 años</v>
          </cell>
        </row>
        <row r="17">
          <cell r="B17" t="str">
            <v>12 años</v>
          </cell>
        </row>
        <row r="18">
          <cell r="B18" t="str">
            <v>13 años</v>
          </cell>
        </row>
        <row r="19">
          <cell r="B19" t="str">
            <v>14 años</v>
          </cell>
        </row>
        <row r="20">
          <cell r="B20" t="str">
            <v>15 años</v>
          </cell>
        </row>
        <row r="21">
          <cell r="B21" t="str">
            <v>16 años</v>
          </cell>
        </row>
        <row r="22">
          <cell r="B22" t="str">
            <v>17 años</v>
          </cell>
        </row>
        <row r="23">
          <cell r="B23" t="str">
            <v>18 años</v>
          </cell>
        </row>
        <row r="24">
          <cell r="B24" t="str">
            <v>19 años</v>
          </cell>
        </row>
        <row r="25">
          <cell r="B25" t="str">
            <v>20 años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a1" displayName="Lista1" ref="D5:D9" totalsRowShown="0" headerRowDxfId="25">
  <autoFilter ref="D5:D9" xr:uid="{00000000-0009-0000-0100-000001000000}"/>
  <tableColumns count="1">
    <tableColumn id="1" xr3:uid="{00000000-0010-0000-0000-000001000000}" name="inmovilizad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ista2" displayName="Lista2" ref="F5:F11" totalsRowShown="0" headerRowDxfId="24">
  <autoFilter ref="F5:F11" xr:uid="{00000000-0009-0000-0100-000002000000}"/>
  <tableColumns count="1">
    <tableColumn id="1" xr3:uid="{00000000-0010-0000-0100-000001000000}" name="circulant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Lista3" displayName="Lista3" ref="H5:H9" totalsRowShown="0" headerRowDxfId="23">
  <autoFilter ref="H5:H9" xr:uid="{00000000-0009-0000-0100-000003000000}"/>
  <tableColumns count="1">
    <tableColumn id="1" xr3:uid="{00000000-0010-0000-0200-000001000000}" name="patrimonion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ista4" displayName="Lista4" ref="D17:D23" totalsRowShown="0" headerRowDxfId="22">
  <autoFilter ref="D17:D23" xr:uid="{00000000-0009-0000-0100-000004000000}"/>
  <tableColumns count="1">
    <tableColumn id="1" xr3:uid="{00000000-0010-0000-0300-000001000000}" name="pasivocorrient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ista5" displayName="Lista5" ref="F17:F21" totalsRowShown="0" headerRowDxfId="21">
  <autoFilter ref="F17:F21" xr:uid="{00000000-0009-0000-0100-000005000000}"/>
  <tableColumns count="1">
    <tableColumn id="1" xr3:uid="{00000000-0010-0000-0400-000001000000}" name="pasivoNOcorriente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sta6" displayName="Lista6" ref="J4:J10" totalsRowShown="0" headerRowDxfId="20" dataDxfId="19">
  <autoFilter ref="J4:J10" xr:uid="{00000000-0009-0000-0100-000006000000}"/>
  <tableColumns count="1">
    <tableColumn id="1" xr3:uid="{00000000-0010-0000-0500-000001000000}" name="balance" dataDxfId="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  <pageSetUpPr fitToPage="1"/>
  </sheetPr>
  <dimension ref="A1:AL991"/>
  <sheetViews>
    <sheetView showGridLines="0" showRowColHeaders="0" showOutlineSymbols="0" topLeftCell="B306" zoomScaleNormal="100" workbookViewId="0">
      <selection activeCell="E320" sqref="E320"/>
    </sheetView>
  </sheetViews>
  <sheetFormatPr baseColWidth="10" defaultRowHeight="13.2"/>
  <cols>
    <col min="1" max="1" width="2.88671875" hidden="1" customWidth="1"/>
    <col min="2" max="2" width="3.88671875" customWidth="1"/>
    <col min="3" max="3" width="7.44140625" customWidth="1"/>
    <col min="4" max="4" width="10.109375" customWidth="1"/>
    <col min="5" max="5" width="9.5546875" customWidth="1"/>
    <col min="6" max="6" width="11.44140625" customWidth="1"/>
    <col min="7" max="7" width="8.109375" customWidth="1"/>
    <col min="9" max="9" width="6.109375" customWidth="1"/>
    <col min="10" max="10" width="14.88671875" customWidth="1"/>
    <col min="11" max="11" width="13.5546875" customWidth="1"/>
    <col min="12" max="12" width="10.6640625" customWidth="1"/>
    <col min="13" max="13" width="12.44140625" customWidth="1"/>
    <col min="14" max="14" width="6.109375" customWidth="1"/>
    <col min="15" max="15" width="3.5546875" customWidth="1"/>
    <col min="16" max="37" width="16.44140625" customWidth="1"/>
    <col min="38" max="68" width="11.44140625"/>
  </cols>
  <sheetData>
    <row r="1" spans="1:18" ht="15" customHeight="1">
      <c r="D1" s="467" t="s">
        <v>411</v>
      </c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</row>
    <row r="2" spans="1:18" ht="15.9" customHeight="1" thickBot="1">
      <c r="M2" s="467"/>
      <c r="N2" s="467"/>
      <c r="O2" s="467"/>
      <c r="P2" s="467"/>
    </row>
    <row r="3" spans="1:18" ht="36" customHeight="1">
      <c r="B3" s="465"/>
      <c r="D3" s="730" t="s">
        <v>522</v>
      </c>
      <c r="E3" s="731"/>
      <c r="F3" s="731"/>
      <c r="G3" s="731"/>
      <c r="H3" s="731"/>
      <c r="I3" s="731"/>
      <c r="J3" s="731"/>
      <c r="K3" s="731"/>
      <c r="L3" s="732"/>
      <c r="M3" s="467"/>
      <c r="N3" s="467"/>
      <c r="O3" s="467"/>
      <c r="P3" s="467"/>
    </row>
    <row r="4" spans="1:18" ht="21.9" customHeight="1">
      <c r="B4" s="465"/>
      <c r="D4" s="733" t="s">
        <v>409</v>
      </c>
      <c r="E4" s="734"/>
      <c r="F4" s="734"/>
      <c r="G4" s="734"/>
      <c r="H4" s="734"/>
      <c r="I4" s="734"/>
      <c r="J4" s="734"/>
      <c r="K4" s="734"/>
      <c r="L4" s="735"/>
      <c r="M4" s="467"/>
      <c r="N4" s="467"/>
      <c r="O4" s="467"/>
      <c r="P4" s="467"/>
      <c r="R4" s="479" t="s">
        <v>414</v>
      </c>
    </row>
    <row r="5" spans="1:18" ht="29.1" customHeight="1">
      <c r="B5" s="465"/>
      <c r="D5" s="736" t="s">
        <v>412</v>
      </c>
      <c r="E5" s="737"/>
      <c r="F5" s="738" t="s">
        <v>262</v>
      </c>
      <c r="G5" s="739"/>
      <c r="H5" s="739"/>
      <c r="I5" s="756" t="s">
        <v>488</v>
      </c>
      <c r="J5" s="756"/>
      <c r="K5" s="652">
        <v>2026</v>
      </c>
      <c r="L5" s="468"/>
      <c r="M5" s="467"/>
      <c r="N5" s="467"/>
      <c r="O5" s="467"/>
      <c r="P5" s="467"/>
    </row>
    <row r="6" spans="1:18" ht="24" customHeight="1">
      <c r="B6" s="465"/>
      <c r="D6" s="469" t="s">
        <v>413</v>
      </c>
      <c r="E6" s="740"/>
      <c r="F6" s="740"/>
      <c r="G6" s="740"/>
      <c r="H6" s="740"/>
      <c r="I6" s="740"/>
      <c r="J6" s="740"/>
      <c r="K6" s="740"/>
      <c r="L6" s="470"/>
      <c r="M6" s="467"/>
      <c r="N6" s="467"/>
      <c r="O6" s="467"/>
      <c r="P6" s="467"/>
    </row>
    <row r="7" spans="1:18" ht="15.9" customHeight="1">
      <c r="B7" s="465"/>
      <c r="D7" s="471"/>
      <c r="E7" s="650"/>
      <c r="F7" s="650"/>
      <c r="G7" s="650"/>
      <c r="H7" s="650"/>
      <c r="I7" s="650"/>
      <c r="J7" s="650"/>
      <c r="K7" s="650"/>
      <c r="L7" s="472"/>
      <c r="M7" s="467"/>
      <c r="N7" s="467"/>
      <c r="O7" s="467"/>
      <c r="P7" s="467"/>
    </row>
    <row r="8" spans="1:18" ht="15.9" customHeight="1">
      <c r="B8" s="465"/>
      <c r="D8" s="471"/>
      <c r="E8" s="650"/>
      <c r="F8" s="650"/>
      <c r="G8" s="650"/>
      <c r="H8" s="650"/>
      <c r="I8" s="650"/>
      <c r="J8" s="650"/>
      <c r="K8" s="650"/>
      <c r="L8" s="472"/>
      <c r="M8" s="467"/>
      <c r="N8" s="467"/>
      <c r="O8" s="467"/>
      <c r="P8" s="467"/>
    </row>
    <row r="9" spans="1:18" ht="15.9" customHeight="1">
      <c r="B9" s="465"/>
      <c r="D9" s="471"/>
      <c r="E9" s="650"/>
      <c r="F9" s="650"/>
      <c r="G9" s="650"/>
      <c r="H9" s="650"/>
      <c r="I9" s="650"/>
      <c r="J9" s="650"/>
      <c r="K9" s="650"/>
      <c r="L9" s="473"/>
      <c r="M9" s="467"/>
      <c r="N9" s="467"/>
      <c r="O9" s="467"/>
      <c r="P9" s="467"/>
    </row>
    <row r="10" spans="1:18" ht="15.9" customHeight="1">
      <c r="B10" s="465"/>
      <c r="D10" s="471"/>
      <c r="E10" s="651"/>
      <c r="F10" s="651"/>
      <c r="G10" s="651"/>
      <c r="H10" s="651"/>
      <c r="I10" s="651"/>
      <c r="J10" s="651"/>
      <c r="K10" s="651"/>
      <c r="L10" s="474"/>
      <c r="M10" s="467"/>
      <c r="N10" s="467"/>
      <c r="O10" s="467"/>
      <c r="P10" s="467"/>
    </row>
    <row r="11" spans="1:18" ht="15.9" customHeight="1">
      <c r="B11" s="465"/>
      <c r="D11" s="471"/>
      <c r="E11" s="650"/>
      <c r="F11" s="650"/>
      <c r="G11" s="650"/>
      <c r="H11" s="650"/>
      <c r="I11" s="650"/>
      <c r="J11" s="650"/>
      <c r="K11" s="650"/>
      <c r="L11" s="473"/>
      <c r="M11" s="467"/>
      <c r="N11" s="467"/>
      <c r="O11" s="467"/>
      <c r="P11" s="467"/>
    </row>
    <row r="12" spans="1:18" ht="15.9" customHeight="1">
      <c r="B12" s="465"/>
      <c r="D12" s="471"/>
      <c r="E12" s="650"/>
      <c r="F12" s="650"/>
      <c r="G12" s="650"/>
      <c r="H12" s="650"/>
      <c r="I12" s="650"/>
      <c r="J12" s="650"/>
      <c r="K12" s="650"/>
      <c r="L12" s="473"/>
      <c r="M12" s="467"/>
      <c r="N12" s="467"/>
      <c r="O12" s="467"/>
      <c r="P12" s="467"/>
    </row>
    <row r="13" spans="1:18" ht="17.100000000000001" customHeight="1">
      <c r="B13" s="465"/>
      <c r="D13" s="475"/>
      <c r="E13" s="650"/>
      <c r="F13" s="650"/>
      <c r="G13" s="650"/>
      <c r="H13" s="650"/>
      <c r="I13" s="650"/>
      <c r="J13" s="650"/>
      <c r="K13" s="650"/>
      <c r="L13" s="473"/>
      <c r="M13" s="467"/>
      <c r="N13" s="467"/>
      <c r="O13" s="467"/>
      <c r="P13" s="467"/>
    </row>
    <row r="14" spans="1:18" ht="24" customHeight="1">
      <c r="B14" s="465"/>
      <c r="D14" s="476"/>
      <c r="E14" s="480">
        <f ca="1">YEAR(A16)</f>
        <v>2026</v>
      </c>
      <c r="F14" s="477"/>
      <c r="G14" s="477"/>
      <c r="H14" s="477"/>
      <c r="I14" s="477"/>
      <c r="J14" s="477"/>
      <c r="K14" s="477"/>
      <c r="L14" s="478"/>
      <c r="M14" s="467"/>
      <c r="N14" s="467"/>
      <c r="O14" s="467"/>
      <c r="P14" s="467"/>
    </row>
    <row r="15" spans="1:18" ht="6.9" customHeight="1">
      <c r="B15" s="465"/>
      <c r="D15" s="741" t="s">
        <v>405</v>
      </c>
      <c r="E15" s="742"/>
      <c r="F15" s="742"/>
      <c r="G15" s="742"/>
      <c r="H15" s="742"/>
      <c r="I15" s="742"/>
      <c r="J15" s="742"/>
      <c r="K15" s="742"/>
      <c r="L15" s="743"/>
      <c r="M15" s="467"/>
      <c r="N15" s="467"/>
      <c r="O15" s="467"/>
      <c r="P15" s="467"/>
    </row>
    <row r="16" spans="1:18" ht="15" customHeight="1">
      <c r="A16" s="42">
        <f ca="1">TODAY()</f>
        <v>46091</v>
      </c>
      <c r="B16" s="465"/>
      <c r="D16" s="744"/>
      <c r="E16" s="745"/>
      <c r="F16" s="745"/>
      <c r="G16" s="745"/>
      <c r="H16" s="745"/>
      <c r="I16" s="745"/>
      <c r="J16" s="745"/>
      <c r="K16" s="745"/>
      <c r="L16" s="746"/>
      <c r="M16" s="467"/>
      <c r="N16" s="467"/>
      <c r="O16" s="467"/>
      <c r="P16" s="467"/>
    </row>
    <row r="17" spans="2:16" ht="17.100000000000001" customHeight="1">
      <c r="B17" s="466"/>
      <c r="D17" s="467"/>
      <c r="E17" s="467"/>
      <c r="F17" s="467"/>
      <c r="G17" s="467"/>
      <c r="H17" s="467"/>
      <c r="I17" s="467"/>
      <c r="J17" s="467"/>
      <c r="K17" s="467"/>
      <c r="L17" s="467"/>
      <c r="M17" s="467"/>
      <c r="N17" s="467"/>
      <c r="O17" s="467"/>
      <c r="P17" s="467"/>
    </row>
    <row r="18" spans="2:16" ht="11.25" customHeight="1">
      <c r="D18" s="1"/>
      <c r="E18" s="1"/>
      <c r="F18" s="481"/>
      <c r="G18" s="481"/>
      <c r="H18" s="481"/>
      <c r="I18" s="482"/>
      <c r="J18" s="482"/>
      <c r="K18" s="481"/>
      <c r="L18" s="481"/>
      <c r="M18" s="81"/>
      <c r="N18" s="81"/>
      <c r="O18" s="81"/>
    </row>
    <row r="19" spans="2:16" ht="11.25" customHeight="1">
      <c r="D19" s="1"/>
      <c r="E19" s="1"/>
      <c r="F19" s="481"/>
      <c r="G19" s="481"/>
      <c r="H19" s="481"/>
      <c r="I19" s="50"/>
      <c r="J19" s="50"/>
      <c r="K19" s="481"/>
      <c r="L19" s="481"/>
      <c r="M19" s="50"/>
      <c r="N19" s="50"/>
      <c r="O19" s="50"/>
    </row>
    <row r="20" spans="2:16">
      <c r="D20" s="1"/>
      <c r="E20" s="1"/>
      <c r="F20" s="47"/>
      <c r="G20" s="47"/>
      <c r="H20" s="47"/>
      <c r="I20" s="47"/>
      <c r="J20" s="47"/>
      <c r="K20" s="47"/>
      <c r="L20" s="47"/>
      <c r="M20" s="50"/>
      <c r="N20" s="50"/>
      <c r="O20" s="50"/>
    </row>
    <row r="21" spans="2:16">
      <c r="D21" s="1"/>
      <c r="E21" s="1"/>
      <c r="F21" s="47"/>
      <c r="G21" s="47"/>
      <c r="H21" s="47"/>
      <c r="I21" s="47"/>
      <c r="J21" s="47"/>
      <c r="K21" s="47"/>
      <c r="L21" s="47"/>
      <c r="M21" s="50"/>
      <c r="N21" s="50"/>
      <c r="O21" s="50"/>
    </row>
    <row r="22" spans="2:16">
      <c r="D22" s="1"/>
      <c r="E22" s="1"/>
      <c r="F22" s="47"/>
      <c r="G22" s="47"/>
      <c r="H22" s="47"/>
      <c r="I22" s="47"/>
      <c r="J22" s="47"/>
      <c r="K22" s="47"/>
      <c r="L22" s="47"/>
      <c r="M22" s="50"/>
      <c r="N22" s="50"/>
      <c r="O22" s="50"/>
    </row>
    <row r="23" spans="2:16">
      <c r="D23" s="1"/>
      <c r="E23" s="1"/>
      <c r="F23" s="47"/>
      <c r="G23" s="47"/>
      <c r="H23" s="47"/>
      <c r="I23" s="47"/>
      <c r="J23" s="47"/>
      <c r="K23" s="47"/>
      <c r="L23" s="47"/>
      <c r="M23" s="50"/>
      <c r="N23" s="50"/>
      <c r="O23" s="50"/>
    </row>
    <row r="24" spans="2:16" ht="15" customHeight="1">
      <c r="D24" s="1"/>
      <c r="E24" s="1"/>
      <c r="F24" s="103"/>
      <c r="G24" s="766"/>
      <c r="H24" s="766"/>
      <c r="I24" s="50"/>
      <c r="J24" s="50"/>
      <c r="K24" s="50"/>
      <c r="L24" s="50"/>
      <c r="M24" s="766"/>
      <c r="N24" s="766"/>
      <c r="O24" s="766"/>
    </row>
    <row r="25" spans="2:16" ht="15" customHeight="1">
      <c r="D25" s="1"/>
      <c r="E25" s="1"/>
      <c r="F25" s="103"/>
      <c r="G25" s="766"/>
      <c r="H25" s="766"/>
      <c r="I25" s="50"/>
      <c r="J25" s="50"/>
      <c r="K25" s="50"/>
      <c r="L25" s="50"/>
      <c r="M25" s="766"/>
      <c r="N25" s="766"/>
      <c r="O25" s="766"/>
    </row>
    <row r="26" spans="2:16" ht="12.75" customHeight="1">
      <c r="D26" s="1"/>
      <c r="E26" s="1"/>
      <c r="F26" s="87"/>
      <c r="G26" s="87"/>
      <c r="H26" s="88"/>
      <c r="I26" s="88"/>
      <c r="J26" s="88"/>
      <c r="K26" s="88"/>
      <c r="L26" s="88"/>
      <c r="M26" s="87"/>
      <c r="N26" s="87"/>
      <c r="O26" s="87"/>
      <c r="P26" s="1"/>
    </row>
    <row r="27" spans="2:16" ht="12.75" customHeight="1">
      <c r="D27" s="1"/>
      <c r="E27" s="1"/>
      <c r="F27" s="89"/>
      <c r="G27" s="89"/>
      <c r="H27" s="90"/>
      <c r="I27" s="90"/>
      <c r="J27" s="90"/>
      <c r="K27" s="90"/>
      <c r="L27" s="90"/>
      <c r="M27" s="89"/>
      <c r="N27" s="91"/>
      <c r="O27" s="89"/>
      <c r="P27" s="1"/>
    </row>
    <row r="28" spans="2:16" ht="12.75" customHeight="1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2:16" ht="12.75" customHeight="1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2:16" ht="12.75" customHeight="1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2:16" ht="12.75" customHeight="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2:16" ht="12.7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4:16" ht="12.7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4:16" ht="12.75" customHeight="1"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4:16" ht="12.7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4:16" ht="12.7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4:16" ht="12.7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4:16" ht="12.7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4:16" ht="12.75" customHeight="1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4:16" ht="12.75" customHeight="1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4:16" ht="12.75" customHeight="1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4:16" ht="12.75" customHeight="1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4:16" ht="12.7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4:16" ht="12.7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4:16" ht="12.7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4:16" ht="12.75" customHeight="1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4:16" ht="12.7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4:16" ht="12.75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4:16" ht="12.7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4:16" ht="12.7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4:16" ht="12.75" customHeight="1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4:16" ht="12.75" customHeight="1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4:16" ht="12.75" customHeight="1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4:16" ht="12.75" customHeight="1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4:16" ht="12.75" customHeight="1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4:16" ht="12.75" customHeight="1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4:16" ht="12.7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4:16" ht="12.7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4:16" ht="12.75" customHeight="1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4:16" ht="12.7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4:16" ht="12.75" customHeight="1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4:16" ht="12.75" customHeight="1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4:16" ht="12.75" customHeight="1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4:16" ht="12.75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4:16" ht="12.75" customHeight="1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4:16" ht="12.75" customHeight="1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</row>
    <row r="67" spans="4:16" ht="12.75" customHeight="1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4:16" ht="12.75" customHeight="1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</row>
    <row r="69" spans="4:16" ht="12.7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</row>
    <row r="70" spans="4:16" ht="12.7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</row>
    <row r="71" spans="4:16" ht="12.7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</row>
    <row r="72" spans="4:16" ht="12.75" customHeight="1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</row>
    <row r="73" spans="4:16" ht="12.75" customHeight="1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</row>
    <row r="74" spans="4:16" ht="12.75" customHeight="1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</row>
    <row r="75" spans="4:16" ht="12.75" customHeight="1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4:16" ht="12.75" customHeight="1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4:16" ht="12.75" customHeight="1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4:16" ht="12.75" customHeight="1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4:16" ht="12.75" customHeight="1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4:16" ht="12.75" customHeight="1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4:16" ht="12.75" customHeight="1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4:16" ht="12.7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4:16" ht="12.75" customHeight="1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4:16" ht="12.75" customHeight="1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4:16" ht="12.7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4:16" ht="12.75" customHeight="1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4:16" ht="12.75" customHeight="1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4:16" ht="12.75" customHeigh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4:16" ht="12.75" customHeight="1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4:16" ht="12.75" customHeigh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4:16" ht="12.75" customHeigh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4:16" ht="12.75" customHeigh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4:16" ht="12.7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4:16" ht="12.75" customHeight="1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4:16" ht="12.75" customHeight="1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4:16" ht="12.75" customHeight="1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4:16" ht="12.75" customHeight="1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4:16" ht="12.75" customHeight="1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4:16" ht="12.75" customHeight="1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4:16" ht="12.75" customHeight="1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  <row r="101" spans="4:16" ht="12.75" customHeight="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4:16" ht="12.75" customHeight="1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4:16" ht="12.75" customHeight="1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4:16" ht="12.75" customHeight="1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4:16" ht="12.75" customHeight="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4:16" ht="12.75" customHeight="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4:16" ht="12.7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4:16" ht="12.75" customHeight="1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4:16" ht="12.75" customHeight="1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4:16" ht="12.75" customHeight="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4:16" ht="12.75" customHeight="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4:16" ht="12.75" customHeight="1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4:16" ht="12.75" customHeight="1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4:16" ht="12.75" customHeight="1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4:16" ht="12.75" customHeight="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4:16" ht="12.75" customHeight="1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4:16" ht="12.75" customHeight="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4:16" ht="12.75" customHeight="1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4:16" ht="12.75" customHeight="1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4:16" ht="12.75" customHeight="1"/>
    <row r="121" spans="4:16" ht="12.75" customHeight="1"/>
    <row r="122" spans="4:16" ht="12.75" customHeight="1"/>
    <row r="123" spans="4:16" ht="12.75" customHeight="1"/>
    <row r="124" spans="4:16" ht="12.75" customHeight="1"/>
    <row r="125" spans="4:16" ht="12.75" customHeight="1"/>
    <row r="126" spans="4:16" ht="12.75" customHeight="1"/>
    <row r="127" spans="4:16" ht="12.75" customHeight="1"/>
    <row r="128" spans="4:16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spans="2:38" ht="12.75" customHeight="1"/>
    <row r="178" spans="2:38" ht="12.75" customHeight="1"/>
    <row r="179" spans="2:38" ht="12.75" customHeight="1"/>
    <row r="180" spans="2:38" ht="12.75" customHeight="1"/>
    <row r="181" spans="2:38" ht="12.75" customHeight="1"/>
    <row r="182" spans="2:38" ht="12.75" customHeight="1"/>
    <row r="183" spans="2:38" ht="12.75" customHeight="1"/>
    <row r="184" spans="2:38" ht="8.1" customHeight="1" thickBot="1"/>
    <row r="185" spans="2:38" ht="20.100000000000001" customHeight="1" thickBot="1">
      <c r="D185" s="747" t="s">
        <v>478</v>
      </c>
      <c r="E185" s="748"/>
      <c r="F185" s="748"/>
      <c r="G185" s="748"/>
      <c r="H185" s="748"/>
      <c r="I185" s="748"/>
      <c r="J185" s="748"/>
      <c r="K185" s="748"/>
      <c r="L185" s="748"/>
      <c r="M185" s="749"/>
      <c r="N185" s="104"/>
      <c r="O185" s="104"/>
      <c r="P185" s="104"/>
    </row>
    <row r="186" spans="2:38" ht="12.75" customHeight="1">
      <c r="D186" s="487"/>
      <c r="E186" s="488"/>
      <c r="F186" s="488"/>
      <c r="G186" s="488"/>
      <c r="H186" s="488"/>
      <c r="I186" s="488"/>
      <c r="J186" s="488"/>
      <c r="K186" s="488"/>
      <c r="L186" s="489"/>
      <c r="M186" s="484"/>
    </row>
    <row r="187" spans="2:38" ht="12.75" customHeight="1">
      <c r="D187" s="490" t="s">
        <v>415</v>
      </c>
      <c r="E187" s="105"/>
      <c r="F187" s="348"/>
      <c r="G187" s="348"/>
      <c r="H187" s="348"/>
      <c r="I187" s="348"/>
      <c r="J187" s="348"/>
      <c r="K187" s="348"/>
      <c r="L187" s="105"/>
      <c r="M187" s="112"/>
    </row>
    <row r="188" spans="2:38" s="39" customFormat="1" ht="15" customHeight="1">
      <c r="B188" s="66"/>
      <c r="C188" s="66"/>
      <c r="D188" s="491" t="s">
        <v>416</v>
      </c>
      <c r="E188" s="117"/>
      <c r="F188" s="110"/>
      <c r="G188" s="109"/>
      <c r="H188" s="109"/>
      <c r="I188" s="109"/>
      <c r="J188" s="109"/>
      <c r="K188" s="109"/>
      <c r="L188" s="108"/>
      <c r="M188" s="485"/>
      <c r="N188" s="46"/>
      <c r="O188" s="46"/>
      <c r="P188" s="46"/>
      <c r="Q188" s="67"/>
      <c r="R188" s="67"/>
      <c r="S188" s="67"/>
      <c r="T188" s="67"/>
      <c r="U188" s="67"/>
      <c r="V188" s="67"/>
      <c r="W188" s="67"/>
      <c r="X188" s="67"/>
      <c r="Y188" s="67"/>
      <c r="Z188" s="67"/>
      <c r="AA188" s="67"/>
      <c r="AB188" s="67"/>
      <c r="AC188" s="67"/>
      <c r="AD188" s="67"/>
      <c r="AE188" s="67"/>
      <c r="AF188" s="67"/>
      <c r="AG188" s="67"/>
      <c r="AH188" s="67"/>
      <c r="AI188" s="67"/>
      <c r="AJ188" s="67"/>
      <c r="AK188" s="67"/>
      <c r="AL188" s="68"/>
    </row>
    <row r="189" spans="2:38" s="39" customFormat="1" ht="15" customHeight="1">
      <c r="B189" s="68"/>
      <c r="C189" s="68"/>
      <c r="D189" s="491" t="s">
        <v>417</v>
      </c>
      <c r="E189" s="117"/>
      <c r="F189" s="109"/>
      <c r="G189" s="109"/>
      <c r="H189" s="109"/>
      <c r="I189" s="109"/>
      <c r="J189" s="109"/>
      <c r="K189" s="109"/>
      <c r="L189" s="108"/>
      <c r="M189" s="485"/>
      <c r="N189" s="46"/>
      <c r="O189" s="46"/>
      <c r="P189" s="46"/>
      <c r="Q189" s="67"/>
      <c r="R189" s="67"/>
      <c r="S189" s="67"/>
      <c r="T189" s="67"/>
      <c r="U189" s="67"/>
      <c r="V189" s="67"/>
      <c r="W189" s="67"/>
      <c r="X189" s="67"/>
      <c r="Y189" s="67"/>
      <c r="Z189" s="67"/>
      <c r="AA189" s="67"/>
      <c r="AB189" s="67"/>
      <c r="AC189" s="67"/>
      <c r="AD189" s="67"/>
      <c r="AE189" s="67"/>
      <c r="AF189" s="67"/>
      <c r="AG189" s="67"/>
      <c r="AH189" s="67"/>
      <c r="AI189" s="67"/>
      <c r="AJ189" s="67"/>
      <c r="AK189" s="67"/>
      <c r="AL189" s="68"/>
    </row>
    <row r="190" spans="2:38" s="39" customFormat="1" ht="15" customHeight="1">
      <c r="B190" s="68"/>
      <c r="C190" s="68"/>
      <c r="D190" s="492" t="s">
        <v>418</v>
      </c>
      <c r="E190" s="117"/>
      <c r="F190" s="109"/>
      <c r="G190" s="109"/>
      <c r="H190" s="109"/>
      <c r="I190" s="109"/>
      <c r="J190" s="109"/>
      <c r="K190" s="109"/>
      <c r="L190" s="108"/>
      <c r="M190" s="485"/>
      <c r="N190" s="46"/>
      <c r="O190" s="46"/>
      <c r="P190" s="46"/>
      <c r="Q190" s="67"/>
      <c r="R190" s="67"/>
      <c r="S190" s="67"/>
      <c r="T190" s="67"/>
      <c r="U190" s="67"/>
      <c r="V190" s="67"/>
      <c r="W190" s="67"/>
      <c r="X190" s="67"/>
      <c r="Y190" s="67"/>
      <c r="Z190" s="67"/>
      <c r="AA190" s="67"/>
      <c r="AB190" s="67"/>
      <c r="AC190" s="67"/>
      <c r="AD190" s="67"/>
      <c r="AE190" s="67"/>
      <c r="AF190" s="67"/>
      <c r="AG190" s="67"/>
      <c r="AH190" s="67"/>
      <c r="AI190" s="67"/>
      <c r="AJ190" s="67"/>
      <c r="AK190" s="67"/>
      <c r="AL190" s="68"/>
    </row>
    <row r="191" spans="2:38" s="39" customFormat="1" ht="15" customHeight="1">
      <c r="B191" s="68"/>
      <c r="C191" s="68"/>
      <c r="D191" s="491" t="s">
        <v>419</v>
      </c>
      <c r="E191" s="117"/>
      <c r="F191" s="109"/>
      <c r="G191" s="109"/>
      <c r="H191" s="109"/>
      <c r="I191" s="109"/>
      <c r="J191" s="109"/>
      <c r="K191" s="109"/>
      <c r="L191" s="108"/>
      <c r="M191" s="485"/>
      <c r="N191" s="46"/>
      <c r="O191" s="46"/>
      <c r="P191" s="46"/>
      <c r="Q191" s="67"/>
      <c r="R191" s="67"/>
      <c r="S191" s="67"/>
      <c r="T191" s="67"/>
      <c r="U191" s="67"/>
      <c r="V191" s="67"/>
      <c r="W191" s="67"/>
      <c r="X191" s="67"/>
      <c r="Y191" s="67"/>
      <c r="Z191" s="67"/>
      <c r="AA191" s="67"/>
      <c r="AB191" s="67"/>
      <c r="AC191" s="67"/>
      <c r="AD191" s="67"/>
      <c r="AE191" s="67"/>
      <c r="AF191" s="67"/>
      <c r="AG191" s="67"/>
      <c r="AH191" s="67"/>
      <c r="AI191" s="67"/>
      <c r="AJ191" s="67"/>
      <c r="AK191" s="67"/>
      <c r="AL191" s="68"/>
    </row>
    <row r="192" spans="2:38" s="39" customFormat="1" ht="15" customHeight="1">
      <c r="B192" s="68"/>
      <c r="C192" s="68"/>
      <c r="D192" s="492" t="s">
        <v>420</v>
      </c>
      <c r="E192" s="117"/>
      <c r="F192" s="109"/>
      <c r="G192" s="109"/>
      <c r="H192" s="109"/>
      <c r="I192" s="109"/>
      <c r="J192" s="109"/>
      <c r="K192" s="109"/>
      <c r="L192" s="108"/>
      <c r="M192" s="485"/>
      <c r="N192" s="46"/>
      <c r="O192" s="46"/>
      <c r="P192" s="46"/>
      <c r="Q192" s="67"/>
      <c r="R192" s="67"/>
      <c r="S192" s="67"/>
      <c r="T192" s="67"/>
      <c r="U192" s="67"/>
      <c r="V192" s="67"/>
      <c r="W192" s="67"/>
      <c r="X192" s="67"/>
      <c r="Y192" s="67"/>
      <c r="Z192" s="67"/>
      <c r="AA192" s="67"/>
      <c r="AB192" s="67"/>
      <c r="AC192" s="67"/>
      <c r="AD192" s="67"/>
      <c r="AE192" s="67"/>
      <c r="AF192" s="67"/>
      <c r="AG192" s="67"/>
      <c r="AH192" s="67"/>
      <c r="AI192" s="67"/>
      <c r="AJ192" s="67"/>
      <c r="AK192" s="67"/>
      <c r="AL192" s="68"/>
    </row>
    <row r="193" spans="2:38" s="39" customFormat="1" ht="15">
      <c r="B193" s="68"/>
      <c r="C193" s="68"/>
      <c r="D193" s="115"/>
      <c r="E193" s="125"/>
      <c r="F193" s="125"/>
      <c r="G193" s="109"/>
      <c r="H193" s="109"/>
      <c r="I193" s="109"/>
      <c r="J193" s="109"/>
      <c r="K193" s="109"/>
      <c r="L193" s="108"/>
      <c r="M193" s="485"/>
      <c r="N193" s="46"/>
      <c r="O193" s="46"/>
      <c r="P193" s="46"/>
      <c r="Q193" s="67"/>
      <c r="R193" s="67"/>
      <c r="S193" s="67"/>
      <c r="T193" s="67"/>
      <c r="U193" s="67"/>
      <c r="V193" s="67"/>
      <c r="W193" s="67"/>
      <c r="X193" s="67"/>
      <c r="Y193" s="67"/>
      <c r="Z193" s="67"/>
      <c r="AA193" s="67"/>
      <c r="AB193" s="67"/>
      <c r="AC193" s="67"/>
      <c r="AD193" s="67"/>
      <c r="AE193" s="67"/>
      <c r="AF193" s="67"/>
      <c r="AG193" s="67"/>
      <c r="AH193" s="67"/>
      <c r="AI193" s="67"/>
      <c r="AJ193" s="67"/>
      <c r="AK193" s="67"/>
      <c r="AL193" s="68"/>
    </row>
    <row r="194" spans="2:38" s="39" customFormat="1" ht="15">
      <c r="B194" s="68"/>
      <c r="C194" s="68"/>
      <c r="D194" s="115"/>
      <c r="E194" s="346" t="s">
        <v>402</v>
      </c>
      <c r="F194" s="345"/>
      <c r="G194" s="109"/>
      <c r="H194" s="109"/>
      <c r="I194" s="109"/>
      <c r="J194" s="347"/>
      <c r="K194" s="347"/>
      <c r="L194" s="483"/>
      <c r="M194" s="485"/>
      <c r="N194" s="46"/>
      <c r="O194" s="46"/>
      <c r="P194" s="46"/>
      <c r="Q194" s="67"/>
      <c r="R194" s="67"/>
      <c r="S194" s="67"/>
      <c r="T194" s="67"/>
      <c r="U194" s="67"/>
      <c r="V194" s="67"/>
      <c r="W194" s="67"/>
      <c r="X194" s="67"/>
      <c r="Y194" s="67"/>
      <c r="Z194" s="67"/>
      <c r="AA194" s="67"/>
      <c r="AB194" s="67"/>
      <c r="AC194" s="67"/>
      <c r="AD194" s="67"/>
      <c r="AE194" s="67"/>
      <c r="AF194" s="67"/>
      <c r="AG194" s="67"/>
      <c r="AH194" s="67"/>
      <c r="AI194" s="67"/>
      <c r="AJ194" s="67"/>
      <c r="AK194" s="67"/>
      <c r="AL194" s="68"/>
    </row>
    <row r="195" spans="2:38" s="39" customFormat="1" ht="25.8">
      <c r="B195" s="68"/>
      <c r="C195" s="68"/>
      <c r="D195" s="115"/>
      <c r="E195" s="109"/>
      <c r="F195" s="401" t="s">
        <v>265</v>
      </c>
      <c r="G195" s="109"/>
      <c r="H195" s="109"/>
      <c r="I195" s="109"/>
      <c r="J195" s="109"/>
      <c r="K195" s="109"/>
      <c r="L195" s="108"/>
      <c r="M195" s="485"/>
      <c r="N195" s="46"/>
      <c r="O195" s="46"/>
      <c r="P195" s="46"/>
      <c r="Q195" s="67"/>
      <c r="R195" s="67"/>
      <c r="S195" s="67"/>
      <c r="T195" s="67"/>
      <c r="U195" s="67"/>
      <c r="V195" s="67"/>
      <c r="W195" s="67"/>
      <c r="X195" s="67"/>
      <c r="Y195" s="67"/>
      <c r="Z195" s="67"/>
      <c r="AA195" s="67"/>
      <c r="AB195" s="67"/>
      <c r="AC195" s="67"/>
      <c r="AD195" s="67"/>
      <c r="AE195" s="67"/>
      <c r="AF195" s="67"/>
      <c r="AG195" s="67"/>
      <c r="AH195" s="67"/>
      <c r="AI195" s="67"/>
      <c r="AJ195" s="67"/>
      <c r="AK195" s="67"/>
      <c r="AL195" s="68"/>
    </row>
    <row r="196" spans="2:38" s="39" customFormat="1" ht="15">
      <c r="B196" s="68"/>
      <c r="C196" s="68"/>
      <c r="D196" s="115"/>
      <c r="E196" s="109"/>
      <c r="F196" s="109"/>
      <c r="G196" s="109"/>
      <c r="H196" s="109"/>
      <c r="I196" s="109"/>
      <c r="J196" s="109"/>
      <c r="K196" s="109"/>
      <c r="L196" s="108"/>
      <c r="M196" s="485"/>
      <c r="N196" s="46"/>
      <c r="O196" s="46"/>
      <c r="P196" s="46"/>
      <c r="Q196" s="67"/>
      <c r="R196" s="67"/>
      <c r="S196" s="67"/>
      <c r="T196" s="67"/>
      <c r="U196" s="67"/>
      <c r="V196" s="67"/>
      <c r="W196" s="67"/>
      <c r="X196" s="67"/>
      <c r="Y196" s="67"/>
      <c r="Z196" s="67"/>
      <c r="AA196" s="67"/>
      <c r="AB196" s="67"/>
      <c r="AC196" s="67"/>
      <c r="AD196" s="67"/>
      <c r="AE196" s="67"/>
      <c r="AF196" s="67"/>
      <c r="AG196" s="67"/>
      <c r="AH196" s="67"/>
      <c r="AI196" s="67"/>
      <c r="AJ196" s="67"/>
      <c r="AK196" s="67"/>
      <c r="AL196" s="68"/>
    </row>
    <row r="197" spans="2:38" s="39" customFormat="1" ht="15">
      <c r="B197" s="68"/>
      <c r="C197" s="68"/>
      <c r="D197" s="115"/>
      <c r="E197" s="109"/>
      <c r="F197" s="109"/>
      <c r="G197" s="109"/>
      <c r="H197" s="109"/>
      <c r="I197" s="109"/>
      <c r="J197" s="109"/>
      <c r="K197" s="109"/>
      <c r="L197" s="108"/>
      <c r="M197" s="485"/>
      <c r="N197" s="46"/>
      <c r="O197" s="46"/>
      <c r="P197" s="46"/>
      <c r="Q197" s="67"/>
      <c r="R197" s="67"/>
      <c r="S197" s="67"/>
      <c r="T197" s="67"/>
      <c r="U197" s="67"/>
      <c r="V197" s="67"/>
      <c r="W197" s="67"/>
      <c r="X197" s="67"/>
      <c r="Y197" s="67"/>
      <c r="Z197" s="67"/>
      <c r="AA197" s="67"/>
      <c r="AB197" s="67"/>
      <c r="AC197" s="67"/>
      <c r="AD197" s="67"/>
      <c r="AE197" s="67"/>
      <c r="AF197" s="67"/>
      <c r="AG197" s="67"/>
      <c r="AH197" s="67"/>
      <c r="AI197" s="67"/>
      <c r="AJ197" s="67"/>
      <c r="AK197" s="67"/>
      <c r="AL197" s="68"/>
    </row>
    <row r="198" spans="2:38" s="39" customFormat="1" ht="13.8" thickBot="1">
      <c r="B198" s="68"/>
      <c r="C198" s="68"/>
      <c r="D198" s="493"/>
      <c r="E198" s="494"/>
      <c r="F198" s="494"/>
      <c r="G198" s="494"/>
      <c r="H198" s="494"/>
      <c r="I198" s="494"/>
      <c r="J198" s="494"/>
      <c r="K198" s="494"/>
      <c r="L198" s="494"/>
      <c r="M198" s="486"/>
      <c r="N198" s="46"/>
      <c r="O198" s="46"/>
      <c r="P198" s="46"/>
      <c r="Q198" s="67"/>
      <c r="R198" s="67"/>
      <c r="S198" s="67"/>
      <c r="T198" s="67"/>
      <c r="U198" s="67"/>
      <c r="V198" s="67"/>
      <c r="W198" s="67"/>
      <c r="X198" s="67"/>
      <c r="Y198" s="67"/>
      <c r="Z198" s="67"/>
      <c r="AA198" s="67"/>
      <c r="AB198" s="67"/>
      <c r="AC198" s="67"/>
      <c r="AD198" s="67"/>
      <c r="AE198" s="67"/>
      <c r="AF198" s="67"/>
      <c r="AG198" s="67"/>
      <c r="AH198" s="67"/>
      <c r="AI198" s="67"/>
      <c r="AJ198" s="67"/>
      <c r="AK198" s="67"/>
      <c r="AL198" s="68"/>
    </row>
    <row r="199" spans="2:38" s="39" customFormat="1" ht="20.100000000000001" customHeight="1" thickBot="1">
      <c r="B199" s="68"/>
      <c r="C199" s="68"/>
      <c r="D199" s="747" t="s">
        <v>256</v>
      </c>
      <c r="E199" s="748"/>
      <c r="F199" s="748"/>
      <c r="G199" s="748"/>
      <c r="H199" s="748"/>
      <c r="I199" s="748"/>
      <c r="J199" s="748"/>
      <c r="K199" s="748"/>
      <c r="L199" s="748"/>
      <c r="M199" s="749"/>
      <c r="N199" s="46"/>
      <c r="O199" s="46"/>
      <c r="P199" s="46"/>
      <c r="Q199" s="67"/>
      <c r="R199" s="67"/>
      <c r="S199" s="67"/>
      <c r="T199" s="67"/>
      <c r="U199" s="67"/>
      <c r="V199" s="67"/>
      <c r="W199" s="67"/>
      <c r="X199" s="67"/>
      <c r="Y199" s="67"/>
      <c r="Z199" s="67"/>
      <c r="AA199" s="67"/>
      <c r="AB199" s="67"/>
      <c r="AC199" s="67"/>
      <c r="AD199" s="67"/>
      <c r="AE199" s="67"/>
      <c r="AF199" s="67"/>
      <c r="AG199" s="67"/>
      <c r="AH199" s="67"/>
      <c r="AI199" s="67"/>
      <c r="AJ199" s="67"/>
      <c r="AK199" s="67"/>
      <c r="AL199" s="68"/>
    </row>
    <row r="200" spans="2:38" s="39" customFormat="1">
      <c r="B200" s="68"/>
      <c r="C200" s="68"/>
      <c r="D200" s="115"/>
      <c r="E200" s="108"/>
      <c r="F200" s="108"/>
      <c r="G200" s="108"/>
      <c r="H200" s="108"/>
      <c r="I200" s="108"/>
      <c r="J200" s="108"/>
      <c r="K200" s="108"/>
      <c r="L200" s="108"/>
      <c r="M200" s="495"/>
      <c r="N200" s="46"/>
      <c r="O200" s="46"/>
      <c r="P200" s="46"/>
      <c r="Q200" s="67"/>
      <c r="R200" s="67"/>
      <c r="S200" s="67"/>
      <c r="T200" s="67"/>
      <c r="U200" s="67"/>
      <c r="V200" s="67"/>
      <c r="W200" s="67"/>
      <c r="X200" s="67"/>
      <c r="Y200" s="67"/>
      <c r="Z200" s="67"/>
      <c r="AA200" s="67"/>
      <c r="AB200" s="67"/>
      <c r="AC200" s="67"/>
      <c r="AD200" s="67"/>
      <c r="AE200" s="67"/>
      <c r="AF200" s="67"/>
      <c r="AG200" s="67"/>
      <c r="AH200" s="67"/>
      <c r="AI200" s="67"/>
      <c r="AJ200" s="67"/>
      <c r="AK200" s="67"/>
      <c r="AL200" s="68"/>
    </row>
    <row r="201" spans="2:38" s="39" customFormat="1" ht="16.8">
      <c r="B201" s="68"/>
      <c r="C201" s="68"/>
      <c r="D201" s="115"/>
      <c r="E201" s="119" t="s">
        <v>266</v>
      </c>
      <c r="F201" s="109"/>
      <c r="G201" s="108"/>
      <c r="H201" s="108"/>
      <c r="I201" s="108"/>
      <c r="J201" s="108"/>
      <c r="K201" s="108"/>
      <c r="L201" s="108"/>
      <c r="M201" s="485"/>
      <c r="N201" s="46"/>
      <c r="O201" s="46"/>
      <c r="P201" s="46"/>
      <c r="Q201" s="67"/>
      <c r="R201" s="67"/>
      <c r="S201" s="67"/>
      <c r="T201" s="67"/>
      <c r="U201" s="67"/>
      <c r="V201" s="67"/>
      <c r="W201" s="67"/>
      <c r="X201" s="67"/>
      <c r="Y201" s="67"/>
      <c r="Z201" s="67"/>
      <c r="AA201" s="67"/>
      <c r="AB201" s="67"/>
      <c r="AC201" s="67"/>
      <c r="AD201" s="67"/>
      <c r="AE201" s="67"/>
      <c r="AF201" s="67"/>
      <c r="AG201" s="67"/>
      <c r="AH201" s="67"/>
      <c r="AI201" s="67"/>
      <c r="AJ201" s="67"/>
      <c r="AK201" s="67"/>
      <c r="AL201" s="68"/>
    </row>
    <row r="202" spans="2:38" s="39" customFormat="1" ht="12.75" customHeight="1">
      <c r="B202" s="68"/>
      <c r="C202" s="68"/>
      <c r="D202" s="113"/>
      <c r="E202" s="120" t="s">
        <v>271</v>
      </c>
      <c r="F202" s="110"/>
      <c r="G202" s="107"/>
      <c r="H202" s="107"/>
      <c r="I202" s="107"/>
      <c r="J202" s="107"/>
      <c r="K202" s="107"/>
      <c r="L202" s="107"/>
      <c r="M202" s="485"/>
      <c r="N202" s="106"/>
      <c r="O202" s="106"/>
      <c r="P202" s="106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8"/>
    </row>
    <row r="203" spans="2:38" s="39" customFormat="1" ht="12.75" customHeight="1">
      <c r="B203" s="68"/>
      <c r="C203" s="68"/>
      <c r="D203" s="115"/>
      <c r="E203" s="120" t="s">
        <v>273</v>
      </c>
      <c r="F203" s="109"/>
      <c r="G203" s="108"/>
      <c r="H203" s="108"/>
      <c r="I203" s="108"/>
      <c r="J203" s="108"/>
      <c r="K203" s="108"/>
      <c r="L203" s="108"/>
      <c r="M203" s="485"/>
      <c r="N203" s="46"/>
      <c r="O203" s="46"/>
      <c r="P203" s="46"/>
      <c r="Q203" s="67"/>
      <c r="R203" s="67"/>
      <c r="S203" s="67"/>
      <c r="T203" s="67"/>
      <c r="U203" s="67"/>
      <c r="V203" s="67"/>
      <c r="W203" s="67"/>
      <c r="X203" s="67"/>
      <c r="Y203" s="67"/>
      <c r="Z203" s="67"/>
      <c r="AA203" s="67"/>
      <c r="AB203" s="67"/>
      <c r="AC203" s="67"/>
      <c r="AD203" s="67"/>
      <c r="AE203" s="67"/>
      <c r="AF203" s="67"/>
      <c r="AG203" s="67"/>
      <c r="AH203" s="67"/>
      <c r="AI203" s="67"/>
      <c r="AJ203" s="67"/>
      <c r="AK203" s="67"/>
      <c r="AL203" s="68"/>
    </row>
    <row r="204" spans="2:38" s="39" customFormat="1" ht="12.75" customHeight="1">
      <c r="B204" s="68"/>
      <c r="C204" s="68"/>
      <c r="D204" s="115"/>
      <c r="E204" s="120" t="s">
        <v>274</v>
      </c>
      <c r="F204" s="109"/>
      <c r="G204" s="108"/>
      <c r="H204" s="108"/>
      <c r="I204" s="108"/>
      <c r="J204" s="108"/>
      <c r="K204" s="108"/>
      <c r="L204" s="108"/>
      <c r="M204" s="485"/>
      <c r="N204" s="46"/>
      <c r="O204" s="46"/>
      <c r="P204" s="46"/>
      <c r="Q204" s="67"/>
      <c r="R204" s="67"/>
      <c r="S204" s="67"/>
      <c r="T204" s="67"/>
      <c r="U204" s="67"/>
      <c r="V204" s="67"/>
      <c r="W204" s="67"/>
      <c r="X204" s="67"/>
      <c r="Y204" s="67"/>
      <c r="Z204" s="67"/>
      <c r="AA204" s="67"/>
      <c r="AB204" s="67"/>
      <c r="AC204" s="67"/>
      <c r="AD204" s="67"/>
      <c r="AE204" s="67"/>
      <c r="AF204" s="67"/>
      <c r="AG204" s="67"/>
      <c r="AH204" s="67"/>
      <c r="AI204" s="67"/>
      <c r="AJ204" s="67"/>
      <c r="AK204" s="67"/>
      <c r="AL204" s="68"/>
    </row>
    <row r="205" spans="2:38" s="39" customFormat="1">
      <c r="B205" s="68"/>
      <c r="C205" s="68"/>
      <c r="D205" s="115"/>
      <c r="E205" s="117"/>
      <c r="F205" s="117"/>
      <c r="G205" s="108"/>
      <c r="H205" s="108"/>
      <c r="I205" s="108"/>
      <c r="J205" s="108"/>
      <c r="K205" s="108"/>
      <c r="L205" s="108"/>
      <c r="M205" s="485"/>
      <c r="N205" s="46"/>
      <c r="O205" s="46"/>
      <c r="P205" s="46"/>
      <c r="Q205" s="67"/>
      <c r="R205" s="67"/>
      <c r="S205" s="67"/>
      <c r="T205" s="67"/>
      <c r="U205" s="67"/>
      <c r="V205" s="67"/>
      <c r="W205" s="67"/>
      <c r="X205" s="67"/>
      <c r="Y205" s="67"/>
      <c r="Z205" s="67"/>
      <c r="AA205" s="67"/>
      <c r="AB205" s="67"/>
      <c r="AC205" s="67"/>
      <c r="AD205" s="67"/>
      <c r="AE205" s="67"/>
      <c r="AF205" s="67"/>
      <c r="AG205" s="67"/>
      <c r="AH205" s="67"/>
      <c r="AI205" s="67"/>
      <c r="AJ205" s="67"/>
      <c r="AK205" s="67"/>
      <c r="AL205" s="68"/>
    </row>
    <row r="206" spans="2:38" s="39" customFormat="1" ht="16.8">
      <c r="B206" s="68"/>
      <c r="C206" s="68"/>
      <c r="D206" s="115"/>
      <c r="E206" s="119" t="s">
        <v>267</v>
      </c>
      <c r="F206" s="117"/>
      <c r="G206" s="108"/>
      <c r="H206" s="108"/>
      <c r="I206" s="108"/>
      <c r="J206" s="108"/>
      <c r="K206" s="108"/>
      <c r="L206" s="108"/>
      <c r="M206" s="485"/>
      <c r="N206" s="46"/>
      <c r="O206" s="46"/>
      <c r="P206" s="46"/>
      <c r="Q206" s="67"/>
      <c r="R206" s="67"/>
      <c r="S206" s="67"/>
      <c r="T206" s="67"/>
      <c r="U206" s="67"/>
      <c r="V206" s="67"/>
      <c r="W206" s="67"/>
      <c r="X206" s="67"/>
      <c r="Y206" s="67"/>
      <c r="Z206" s="67"/>
      <c r="AA206" s="67"/>
      <c r="AB206" s="67"/>
      <c r="AC206" s="67"/>
      <c r="AD206" s="67"/>
      <c r="AE206" s="67"/>
      <c r="AF206" s="67"/>
      <c r="AG206" s="67"/>
      <c r="AH206" s="67"/>
      <c r="AI206" s="67"/>
      <c r="AJ206" s="67"/>
      <c r="AK206" s="67"/>
      <c r="AL206" s="68"/>
    </row>
    <row r="207" spans="2:38" s="39" customFormat="1" ht="12.75" customHeight="1">
      <c r="B207" s="68"/>
      <c r="C207" s="68"/>
      <c r="D207" s="115"/>
      <c r="E207" s="120" t="s">
        <v>421</v>
      </c>
      <c r="F207" s="117"/>
      <c r="G207" s="108"/>
      <c r="H207" s="108"/>
      <c r="I207" s="108"/>
      <c r="J207" s="108"/>
      <c r="K207" s="108"/>
      <c r="L207" s="108"/>
      <c r="M207" s="485"/>
      <c r="N207" s="46"/>
      <c r="O207" s="46"/>
      <c r="P207" s="46"/>
      <c r="Q207" s="67"/>
      <c r="R207" s="67"/>
      <c r="S207" s="67"/>
      <c r="T207" s="67"/>
      <c r="U207" s="67"/>
      <c r="V207" s="67"/>
      <c r="W207" s="67"/>
      <c r="X207" s="67"/>
      <c r="Y207" s="67"/>
      <c r="Z207" s="67"/>
      <c r="AA207" s="67"/>
      <c r="AB207" s="67"/>
      <c r="AC207" s="67"/>
      <c r="AD207" s="67"/>
      <c r="AE207" s="67"/>
      <c r="AF207" s="67"/>
      <c r="AG207" s="67"/>
      <c r="AH207" s="67"/>
      <c r="AI207" s="67"/>
      <c r="AJ207" s="67"/>
      <c r="AK207" s="67"/>
      <c r="AL207" s="68"/>
    </row>
    <row r="208" spans="2:38" s="39" customFormat="1" ht="12.75" customHeight="1">
      <c r="B208" s="68"/>
      <c r="C208" s="68"/>
      <c r="D208" s="115"/>
      <c r="E208" s="124" t="s">
        <v>422</v>
      </c>
      <c r="F208" s="109"/>
      <c r="G208" s="108"/>
      <c r="H208" s="108"/>
      <c r="I208" s="108"/>
      <c r="J208" s="108"/>
      <c r="K208" s="108"/>
      <c r="L208" s="108"/>
      <c r="M208" s="485"/>
      <c r="N208" s="46"/>
      <c r="O208" s="46"/>
      <c r="P208" s="46"/>
      <c r="Q208" s="67"/>
      <c r="R208" s="67"/>
      <c r="S208" s="67"/>
      <c r="T208" s="67"/>
      <c r="U208" s="67"/>
      <c r="V208" s="67"/>
      <c r="W208" s="67"/>
      <c r="X208" s="67"/>
      <c r="Y208" s="67"/>
      <c r="Z208" s="67"/>
      <c r="AA208" s="67"/>
      <c r="AB208" s="67"/>
      <c r="AC208" s="67"/>
      <c r="AD208" s="67"/>
      <c r="AE208" s="67"/>
      <c r="AF208" s="67"/>
      <c r="AG208" s="67"/>
      <c r="AH208" s="67"/>
      <c r="AI208" s="67"/>
      <c r="AJ208" s="67"/>
      <c r="AK208" s="67"/>
      <c r="AL208" s="68"/>
    </row>
    <row r="209" spans="2:38" s="39" customFormat="1" ht="12.75" customHeight="1">
      <c r="B209" s="68"/>
      <c r="C209" s="68"/>
      <c r="D209" s="115"/>
      <c r="E209" s="121" t="s">
        <v>423</v>
      </c>
      <c r="F209" s="109"/>
      <c r="G209" s="108"/>
      <c r="H209" s="108"/>
      <c r="I209" s="108"/>
      <c r="J209" s="108"/>
      <c r="K209" s="108"/>
      <c r="L209" s="108"/>
      <c r="M209" s="485"/>
      <c r="N209" s="46"/>
      <c r="O209" s="46"/>
      <c r="P209" s="46"/>
      <c r="Q209" s="67"/>
      <c r="R209" s="67"/>
      <c r="S209" s="67"/>
      <c r="T209" s="67"/>
      <c r="U209" s="67"/>
      <c r="V209" s="67"/>
      <c r="W209" s="67"/>
      <c r="X209" s="67"/>
      <c r="Y209" s="67"/>
      <c r="Z209" s="67"/>
      <c r="AA209" s="67"/>
      <c r="AB209" s="67"/>
      <c r="AC209" s="67"/>
      <c r="AD209" s="67"/>
      <c r="AE209" s="67"/>
      <c r="AF209" s="67"/>
      <c r="AG209" s="67"/>
      <c r="AH209" s="67"/>
      <c r="AI209" s="67"/>
      <c r="AJ209" s="67"/>
      <c r="AK209" s="67"/>
      <c r="AL209" s="68"/>
    </row>
    <row r="210" spans="2:38" s="39" customFormat="1" ht="12.75" customHeight="1">
      <c r="B210" s="68"/>
      <c r="C210" s="68"/>
      <c r="D210" s="115"/>
      <c r="E210" s="125" t="s">
        <v>424</v>
      </c>
      <c r="F210" s="109"/>
      <c r="G210" s="108"/>
      <c r="H210" s="108"/>
      <c r="I210" s="108"/>
      <c r="J210" s="108"/>
      <c r="K210" s="108"/>
      <c r="L210" s="108"/>
      <c r="M210" s="485"/>
      <c r="N210" s="46"/>
      <c r="O210" s="46"/>
      <c r="P210" s="46"/>
      <c r="Q210" s="67"/>
      <c r="R210" s="67"/>
      <c r="S210" s="67"/>
      <c r="T210" s="67"/>
      <c r="U210" s="67"/>
      <c r="V210" s="67"/>
      <c r="W210" s="67"/>
      <c r="X210" s="67"/>
      <c r="Y210" s="67"/>
      <c r="Z210" s="67"/>
      <c r="AA210" s="67"/>
      <c r="AB210" s="67"/>
      <c r="AC210" s="67"/>
      <c r="AD210" s="67"/>
      <c r="AE210" s="67"/>
      <c r="AF210" s="67"/>
      <c r="AG210" s="67"/>
      <c r="AH210" s="67"/>
      <c r="AI210" s="67"/>
      <c r="AJ210" s="67"/>
      <c r="AK210" s="67"/>
      <c r="AL210" s="68"/>
    </row>
    <row r="211" spans="2:38" s="39" customFormat="1" ht="12.75" customHeight="1">
      <c r="B211" s="68"/>
      <c r="C211" s="68"/>
      <c r="D211" s="115"/>
      <c r="E211" s="116" t="s">
        <v>403</v>
      </c>
      <c r="F211" s="109"/>
      <c r="G211" s="108"/>
      <c r="H211" s="108"/>
      <c r="I211" s="108"/>
      <c r="J211" s="108"/>
      <c r="K211" s="108"/>
      <c r="L211" s="108"/>
      <c r="M211" s="485"/>
      <c r="N211" s="46"/>
      <c r="O211" s="46"/>
      <c r="P211" s="46"/>
      <c r="Q211" s="67"/>
      <c r="R211" s="67"/>
      <c r="S211" s="67"/>
      <c r="T211" s="67"/>
      <c r="U211" s="67"/>
      <c r="V211" s="67"/>
      <c r="W211" s="67"/>
      <c r="X211" s="67"/>
      <c r="Y211" s="67"/>
      <c r="Z211" s="67"/>
      <c r="AA211" s="67"/>
      <c r="AB211" s="67"/>
      <c r="AC211" s="67"/>
      <c r="AD211" s="67"/>
      <c r="AE211" s="67"/>
      <c r="AF211" s="67"/>
      <c r="AG211" s="67"/>
      <c r="AH211" s="67"/>
      <c r="AI211" s="67"/>
      <c r="AJ211" s="67"/>
      <c r="AK211" s="67"/>
      <c r="AL211" s="68"/>
    </row>
    <row r="212" spans="2:38" s="39" customFormat="1" ht="12.75" customHeight="1">
      <c r="B212" s="68"/>
      <c r="C212" s="68"/>
      <c r="D212" s="115"/>
      <c r="E212" s="123" t="s">
        <v>276</v>
      </c>
      <c r="F212" s="109"/>
      <c r="G212" s="108"/>
      <c r="H212" s="108"/>
      <c r="I212" s="108"/>
      <c r="J212" s="108"/>
      <c r="K212" s="108"/>
      <c r="L212" s="108"/>
      <c r="M212" s="485"/>
      <c r="N212" s="46"/>
      <c r="O212" s="46"/>
      <c r="P212" s="46"/>
      <c r="Q212" s="67"/>
      <c r="R212" s="67"/>
      <c r="S212" s="67"/>
      <c r="T212" s="67"/>
      <c r="U212" s="67"/>
      <c r="V212" s="67"/>
      <c r="W212" s="67"/>
      <c r="X212" s="67"/>
      <c r="Y212" s="67"/>
      <c r="Z212" s="67"/>
      <c r="AA212" s="67"/>
      <c r="AB212" s="67"/>
      <c r="AC212" s="67"/>
      <c r="AD212" s="67"/>
      <c r="AE212" s="67"/>
      <c r="AF212" s="67"/>
      <c r="AG212" s="67"/>
      <c r="AH212" s="67"/>
      <c r="AI212" s="67"/>
      <c r="AJ212" s="67"/>
      <c r="AK212" s="67"/>
      <c r="AL212" s="68"/>
    </row>
    <row r="213" spans="2:38" s="39" customFormat="1" ht="12.75" customHeight="1">
      <c r="B213" s="68"/>
      <c r="C213" s="68"/>
      <c r="D213" s="115"/>
      <c r="E213" s="125" t="s">
        <v>275</v>
      </c>
      <c r="F213" s="117"/>
      <c r="G213" s="108"/>
      <c r="H213" s="108"/>
      <c r="I213" s="393" t="s">
        <v>407</v>
      </c>
      <c r="J213" s="108"/>
      <c r="K213" s="108"/>
      <c r="L213" s="108"/>
      <c r="M213" s="485"/>
      <c r="N213" s="46"/>
      <c r="O213" s="46"/>
      <c r="P213" s="46"/>
      <c r="Q213" s="67"/>
      <c r="R213" s="67"/>
      <c r="S213" s="67"/>
      <c r="T213" s="67"/>
      <c r="U213" s="67"/>
      <c r="V213" s="67"/>
      <c r="W213" s="67"/>
      <c r="X213" s="67"/>
      <c r="Y213" s="67"/>
      <c r="Z213" s="67"/>
      <c r="AA213" s="67"/>
      <c r="AB213" s="67"/>
      <c r="AC213" s="67"/>
      <c r="AD213" s="67"/>
      <c r="AE213" s="67"/>
      <c r="AF213" s="67"/>
      <c r="AG213" s="67"/>
      <c r="AH213" s="67"/>
      <c r="AI213" s="67"/>
      <c r="AJ213" s="67"/>
      <c r="AK213" s="67"/>
      <c r="AL213" s="68"/>
    </row>
    <row r="214" spans="2:38" s="39" customFormat="1">
      <c r="B214" s="68"/>
      <c r="C214" s="68"/>
      <c r="D214" s="115"/>
      <c r="E214" s="117"/>
      <c r="F214" s="117"/>
      <c r="G214" s="108"/>
      <c r="H214" s="108"/>
      <c r="I214" s="108"/>
      <c r="J214" s="108"/>
      <c r="K214" s="108"/>
      <c r="L214" s="108"/>
      <c r="M214" s="485"/>
      <c r="N214" s="46"/>
      <c r="O214" s="46"/>
      <c r="P214" s="46"/>
      <c r="Q214" s="67"/>
      <c r="R214" s="67"/>
      <c r="S214" s="67"/>
      <c r="T214" s="67"/>
      <c r="U214" s="67"/>
      <c r="V214" s="67"/>
      <c r="W214" s="67"/>
      <c r="X214" s="67"/>
      <c r="Y214" s="67"/>
      <c r="Z214" s="67"/>
      <c r="AA214" s="67"/>
      <c r="AB214" s="67"/>
      <c r="AC214" s="67"/>
      <c r="AD214" s="67"/>
      <c r="AE214" s="67"/>
      <c r="AF214" s="67"/>
      <c r="AG214" s="67"/>
      <c r="AH214" s="67"/>
      <c r="AI214" s="67"/>
      <c r="AJ214" s="67"/>
      <c r="AK214" s="67"/>
      <c r="AL214" s="68"/>
    </row>
    <row r="215" spans="2:38" s="39" customFormat="1" ht="16.8">
      <c r="B215" s="68"/>
      <c r="C215" s="68"/>
      <c r="D215" s="115"/>
      <c r="E215" s="122" t="s">
        <v>270</v>
      </c>
      <c r="F215" s="109"/>
      <c r="G215" s="108"/>
      <c r="H215" s="108"/>
      <c r="I215" s="108"/>
      <c r="J215" s="108"/>
      <c r="K215" s="108"/>
      <c r="L215" s="108"/>
      <c r="M215" s="485"/>
      <c r="N215" s="46"/>
      <c r="O215" s="46"/>
      <c r="P215" s="46"/>
      <c r="Q215" s="67"/>
      <c r="R215" s="67"/>
      <c r="S215" s="67"/>
      <c r="T215" s="67"/>
      <c r="U215" s="67"/>
      <c r="V215" s="67"/>
      <c r="W215" s="67"/>
      <c r="X215" s="67"/>
      <c r="Y215" s="67"/>
      <c r="Z215" s="67"/>
      <c r="AA215" s="67"/>
      <c r="AB215" s="67"/>
      <c r="AC215" s="67"/>
      <c r="AD215" s="67"/>
      <c r="AE215" s="67"/>
      <c r="AF215" s="67"/>
      <c r="AG215" s="67"/>
      <c r="AH215" s="67"/>
      <c r="AI215" s="67"/>
      <c r="AJ215" s="67"/>
      <c r="AK215" s="67"/>
      <c r="AL215" s="68"/>
    </row>
    <row r="216" spans="2:38" s="39" customFormat="1" ht="12.75" customHeight="1">
      <c r="B216" s="68"/>
      <c r="C216" s="68"/>
      <c r="D216" s="115"/>
      <c r="E216" s="120" t="s">
        <v>272</v>
      </c>
      <c r="F216" s="109"/>
      <c r="G216" s="108"/>
      <c r="H216" s="108"/>
      <c r="I216" s="108"/>
      <c r="J216" s="108"/>
      <c r="K216" s="108"/>
      <c r="L216" s="108"/>
      <c r="M216" s="485"/>
      <c r="N216" s="46"/>
      <c r="O216" s="46"/>
      <c r="P216" s="46"/>
      <c r="Q216" s="67"/>
      <c r="R216" s="67"/>
      <c r="S216" s="67"/>
      <c r="T216" s="67"/>
      <c r="U216" s="67"/>
      <c r="V216" s="67"/>
      <c r="W216" s="67"/>
      <c r="X216" s="67"/>
      <c r="Y216" s="67"/>
      <c r="Z216" s="67"/>
      <c r="AA216" s="67"/>
      <c r="AB216" s="67"/>
      <c r="AC216" s="67"/>
      <c r="AD216" s="67"/>
      <c r="AE216" s="67"/>
      <c r="AF216" s="67"/>
      <c r="AG216" s="67"/>
      <c r="AH216" s="67"/>
      <c r="AI216" s="67"/>
      <c r="AJ216" s="67"/>
      <c r="AK216" s="67"/>
      <c r="AL216" s="68"/>
    </row>
    <row r="217" spans="2:38" s="39" customFormat="1" ht="12.75" customHeight="1">
      <c r="B217" s="68"/>
      <c r="C217" s="68"/>
      <c r="D217" s="115"/>
      <c r="E217" s="116" t="s">
        <v>268</v>
      </c>
      <c r="F217" s="109"/>
      <c r="G217" s="108"/>
      <c r="H217" s="108"/>
      <c r="I217" s="108"/>
      <c r="J217" s="108"/>
      <c r="K217" s="108"/>
      <c r="L217" s="108"/>
      <c r="M217" s="485"/>
      <c r="N217" s="46"/>
      <c r="O217" s="46"/>
      <c r="P217" s="46"/>
      <c r="Q217" s="67"/>
      <c r="R217" s="67"/>
      <c r="S217" s="67"/>
      <c r="T217" s="67"/>
      <c r="U217" s="67"/>
      <c r="V217" s="67"/>
      <c r="W217" s="67"/>
      <c r="X217" s="67"/>
      <c r="Y217" s="67"/>
      <c r="Z217" s="67"/>
      <c r="AA217" s="67"/>
      <c r="AB217" s="67"/>
      <c r="AC217" s="67"/>
      <c r="AD217" s="67"/>
      <c r="AE217" s="67"/>
      <c r="AF217" s="67"/>
      <c r="AG217" s="67"/>
      <c r="AH217" s="67"/>
      <c r="AI217" s="67"/>
      <c r="AJ217" s="67"/>
      <c r="AK217" s="67"/>
      <c r="AL217" s="68"/>
    </row>
    <row r="218" spans="2:38" s="39" customFormat="1" ht="12.75" customHeight="1">
      <c r="B218" s="68"/>
      <c r="C218" s="68"/>
      <c r="D218" s="115"/>
      <c r="E218" s="116" t="s">
        <v>425</v>
      </c>
      <c r="F218" s="109"/>
      <c r="G218" s="108"/>
      <c r="H218" s="108"/>
      <c r="I218" s="108"/>
      <c r="J218" s="108"/>
      <c r="K218" s="108"/>
      <c r="L218" s="108"/>
      <c r="M218" s="485"/>
      <c r="N218" s="46"/>
      <c r="O218" s="46"/>
      <c r="P218" s="46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67"/>
      <c r="AK218" s="67"/>
      <c r="AL218" s="68"/>
    </row>
    <row r="219" spans="2:38" s="39" customFormat="1" ht="12.75" customHeight="1">
      <c r="B219" s="68"/>
      <c r="C219" s="68"/>
      <c r="D219" s="115"/>
      <c r="E219" s="116" t="s">
        <v>426</v>
      </c>
      <c r="F219" s="109"/>
      <c r="G219" s="108"/>
      <c r="H219" s="108"/>
      <c r="I219" s="108"/>
      <c r="J219" s="108"/>
      <c r="K219" s="108"/>
      <c r="L219" s="108"/>
      <c r="M219" s="485"/>
      <c r="N219" s="46"/>
      <c r="O219" s="46"/>
      <c r="P219" s="46"/>
      <c r="Q219" s="67"/>
      <c r="R219" s="67"/>
      <c r="S219" s="67"/>
      <c r="T219" s="67"/>
      <c r="U219" s="67"/>
      <c r="V219" s="67"/>
      <c r="W219" s="67"/>
      <c r="X219" s="67"/>
      <c r="Y219" s="67"/>
      <c r="Z219" s="67"/>
      <c r="AA219" s="67"/>
      <c r="AB219" s="67"/>
      <c r="AC219" s="67"/>
      <c r="AD219" s="67"/>
      <c r="AE219" s="67"/>
      <c r="AF219" s="67"/>
      <c r="AG219" s="67"/>
      <c r="AH219" s="67"/>
      <c r="AI219" s="67"/>
      <c r="AJ219" s="67"/>
      <c r="AK219" s="67"/>
      <c r="AL219" s="68"/>
    </row>
    <row r="220" spans="2:38" s="39" customFormat="1" ht="12.75" customHeight="1">
      <c r="B220" s="68"/>
      <c r="C220" s="68"/>
      <c r="D220" s="115"/>
      <c r="E220" s="116" t="s">
        <v>277</v>
      </c>
      <c r="F220" s="109"/>
      <c r="G220" s="108"/>
      <c r="H220" s="108"/>
      <c r="I220" s="108"/>
      <c r="J220" s="108"/>
      <c r="K220" s="108"/>
      <c r="L220" s="108"/>
      <c r="M220" s="485"/>
      <c r="N220" s="46"/>
      <c r="O220" s="46"/>
      <c r="P220" s="46"/>
      <c r="Q220" s="67"/>
      <c r="R220" s="67"/>
      <c r="S220" s="67"/>
      <c r="T220" s="67"/>
      <c r="U220" s="67"/>
      <c r="V220" s="67"/>
      <c r="W220" s="67"/>
      <c r="X220" s="67"/>
      <c r="Y220" s="67"/>
      <c r="Z220" s="67"/>
      <c r="AA220" s="67"/>
      <c r="AB220" s="67"/>
      <c r="AC220" s="67"/>
      <c r="AD220" s="67"/>
      <c r="AE220" s="67"/>
      <c r="AF220" s="67"/>
      <c r="AG220" s="67"/>
      <c r="AH220" s="67"/>
      <c r="AI220" s="67"/>
      <c r="AJ220" s="67"/>
      <c r="AK220" s="67"/>
      <c r="AL220" s="68"/>
    </row>
    <row r="221" spans="2:38" s="39" customFormat="1" ht="12.75" customHeight="1">
      <c r="B221" s="68"/>
      <c r="C221" s="68"/>
      <c r="D221" s="115"/>
      <c r="E221" s="116" t="s">
        <v>278</v>
      </c>
      <c r="F221" s="109"/>
      <c r="G221" s="108"/>
      <c r="H221" s="108"/>
      <c r="I221" s="108"/>
      <c r="J221" s="108"/>
      <c r="K221" s="108"/>
      <c r="L221" s="108"/>
      <c r="M221" s="485"/>
      <c r="N221" s="46"/>
      <c r="O221" s="46"/>
      <c r="P221" s="46"/>
      <c r="Q221" s="67"/>
      <c r="R221" s="67"/>
      <c r="S221" s="67"/>
      <c r="T221" s="67"/>
      <c r="U221" s="67"/>
      <c r="V221" s="67"/>
      <c r="W221" s="67"/>
      <c r="X221" s="67"/>
      <c r="Y221" s="67"/>
      <c r="Z221" s="67"/>
      <c r="AA221" s="67"/>
      <c r="AB221" s="67"/>
      <c r="AC221" s="67"/>
      <c r="AD221" s="67"/>
      <c r="AE221" s="67"/>
      <c r="AF221" s="67"/>
      <c r="AG221" s="67"/>
      <c r="AH221" s="67"/>
      <c r="AI221" s="67"/>
      <c r="AJ221" s="67"/>
      <c r="AK221" s="67"/>
      <c r="AL221" s="68"/>
    </row>
    <row r="222" spans="2:38" s="39" customFormat="1" ht="15">
      <c r="B222" s="68"/>
      <c r="C222" s="68"/>
      <c r="D222" s="115"/>
      <c r="E222" s="109"/>
      <c r="F222" s="109"/>
      <c r="G222" s="108"/>
      <c r="H222" s="108"/>
      <c r="I222" s="108"/>
      <c r="J222" s="108"/>
      <c r="K222" s="108"/>
      <c r="L222" s="108"/>
      <c r="M222" s="485"/>
      <c r="N222" s="46"/>
      <c r="O222" s="46"/>
      <c r="P222" s="46"/>
      <c r="Q222" s="67"/>
      <c r="R222" s="67"/>
      <c r="S222" s="67"/>
      <c r="T222" s="67"/>
      <c r="U222" s="67"/>
      <c r="V222" s="67"/>
      <c r="W222" s="67"/>
      <c r="X222" s="67"/>
      <c r="Y222" s="67"/>
      <c r="Z222" s="67"/>
      <c r="AA222" s="67"/>
      <c r="AB222" s="67"/>
      <c r="AC222" s="67"/>
      <c r="AD222" s="67"/>
      <c r="AE222" s="67"/>
      <c r="AF222" s="67"/>
      <c r="AG222" s="67"/>
      <c r="AH222" s="67"/>
      <c r="AI222" s="67"/>
      <c r="AJ222" s="67"/>
      <c r="AK222" s="67"/>
      <c r="AL222" s="68"/>
    </row>
    <row r="223" spans="2:38" s="39" customFormat="1" ht="15">
      <c r="B223" s="68"/>
      <c r="C223" s="68"/>
      <c r="D223" s="115"/>
      <c r="E223" s="126" t="s">
        <v>269</v>
      </c>
      <c r="F223" s="109"/>
      <c r="G223" s="108"/>
      <c r="H223" s="108"/>
      <c r="I223" s="108"/>
      <c r="J223" s="108"/>
      <c r="K223" s="108"/>
      <c r="L223" s="108"/>
      <c r="M223" s="485"/>
      <c r="N223" s="46"/>
      <c r="O223" s="46"/>
      <c r="P223" s="46"/>
      <c r="Q223" s="67"/>
      <c r="R223" s="67"/>
      <c r="S223" s="67"/>
      <c r="T223" s="67"/>
      <c r="U223" s="67"/>
      <c r="V223" s="67"/>
      <c r="W223" s="67"/>
      <c r="X223" s="67"/>
      <c r="Y223" s="67"/>
      <c r="Z223" s="67"/>
      <c r="AA223" s="67"/>
      <c r="AB223" s="67"/>
      <c r="AC223" s="67"/>
      <c r="AD223" s="67"/>
      <c r="AE223" s="67"/>
      <c r="AF223" s="67"/>
      <c r="AG223" s="67"/>
      <c r="AH223" s="67"/>
      <c r="AI223" s="67"/>
      <c r="AJ223" s="67"/>
      <c r="AK223" s="67"/>
      <c r="AL223" s="68"/>
    </row>
    <row r="224" spans="2:38" s="39" customFormat="1" ht="13.8" thickBot="1">
      <c r="B224" s="68"/>
      <c r="C224" s="68"/>
      <c r="D224" s="115"/>
      <c r="E224" s="108"/>
      <c r="F224" s="108"/>
      <c r="G224" s="108"/>
      <c r="H224" s="108"/>
      <c r="I224" s="108"/>
      <c r="J224" s="108"/>
      <c r="K224" s="108"/>
      <c r="L224" s="108"/>
      <c r="M224" s="486"/>
      <c r="N224" s="46"/>
      <c r="O224" s="46"/>
      <c r="P224" s="46"/>
      <c r="Q224" s="67"/>
      <c r="R224" s="67"/>
      <c r="S224" s="67"/>
      <c r="T224" s="67"/>
      <c r="U224" s="67"/>
      <c r="V224" s="67"/>
      <c r="W224" s="67"/>
      <c r="X224" s="67"/>
      <c r="Y224" s="67"/>
      <c r="Z224" s="67"/>
      <c r="AA224" s="67"/>
      <c r="AB224" s="67"/>
      <c r="AC224" s="67"/>
      <c r="AD224" s="67"/>
      <c r="AE224" s="67"/>
      <c r="AF224" s="67"/>
      <c r="AG224" s="67"/>
      <c r="AH224" s="67"/>
      <c r="AI224" s="67"/>
      <c r="AJ224" s="67"/>
      <c r="AK224" s="67"/>
      <c r="AL224" s="68"/>
    </row>
    <row r="225" spans="2:38" s="39" customFormat="1" ht="20.100000000000001" customHeight="1" thickBot="1">
      <c r="B225" s="68"/>
      <c r="C225" s="68"/>
      <c r="D225" s="747" t="s">
        <v>279</v>
      </c>
      <c r="E225" s="748"/>
      <c r="F225" s="748"/>
      <c r="G225" s="748"/>
      <c r="H225" s="748"/>
      <c r="I225" s="748"/>
      <c r="J225" s="748"/>
      <c r="K225" s="748"/>
      <c r="L225" s="748"/>
      <c r="M225" s="749"/>
      <c r="N225" s="46"/>
      <c r="O225" s="46"/>
      <c r="P225" s="46"/>
      <c r="Q225" s="67"/>
      <c r="R225" s="67"/>
      <c r="S225" s="67"/>
      <c r="T225" s="67"/>
      <c r="U225" s="67"/>
      <c r="V225" s="67"/>
      <c r="W225" s="67"/>
      <c r="X225" s="67"/>
      <c r="Y225" s="67"/>
      <c r="Z225" s="67"/>
      <c r="AA225" s="67"/>
      <c r="AB225" s="67"/>
      <c r="AC225" s="67"/>
      <c r="AD225" s="67"/>
      <c r="AE225" s="67"/>
      <c r="AF225" s="67"/>
      <c r="AG225" s="67"/>
      <c r="AH225" s="67"/>
      <c r="AI225" s="67"/>
      <c r="AJ225" s="67"/>
      <c r="AK225" s="67"/>
      <c r="AL225" s="68"/>
    </row>
    <row r="226" spans="2:38" s="39" customFormat="1">
      <c r="B226" s="68"/>
      <c r="C226" s="68"/>
      <c r="D226" s="496"/>
      <c r="E226" s="497"/>
      <c r="F226" s="497"/>
      <c r="G226" s="497"/>
      <c r="H226" s="497"/>
      <c r="I226" s="497"/>
      <c r="J226" s="497"/>
      <c r="K226" s="497"/>
      <c r="L226" s="497"/>
      <c r="M226" s="495"/>
      <c r="N226" s="127"/>
      <c r="O226" s="127"/>
      <c r="P226" s="127"/>
      <c r="Q226" s="67"/>
      <c r="R226" s="67"/>
      <c r="S226" s="67"/>
      <c r="T226" s="67"/>
      <c r="U226" s="67"/>
      <c r="V226" s="67"/>
      <c r="W226" s="67"/>
      <c r="X226" s="67"/>
      <c r="Y226" s="67"/>
      <c r="Z226" s="67"/>
      <c r="AA226" s="67"/>
      <c r="AB226" s="67"/>
      <c r="AC226" s="67"/>
      <c r="AD226" s="67"/>
      <c r="AE226" s="67"/>
      <c r="AF226" s="67"/>
      <c r="AG226" s="67"/>
      <c r="AH226" s="67"/>
      <c r="AI226" s="67"/>
      <c r="AJ226" s="67"/>
      <c r="AK226" s="67"/>
      <c r="AL226" s="68"/>
    </row>
    <row r="227" spans="2:38" ht="15" customHeight="1">
      <c r="B227" s="41"/>
      <c r="C227" s="41"/>
      <c r="D227" s="750" t="s">
        <v>280</v>
      </c>
      <c r="E227" s="751"/>
      <c r="F227" s="751"/>
      <c r="G227" s="751"/>
      <c r="H227" s="751"/>
      <c r="I227" s="751"/>
      <c r="J227" s="751"/>
      <c r="K227" s="751"/>
      <c r="L227" s="751"/>
      <c r="M227" s="752"/>
      <c r="N227" s="106"/>
      <c r="O227" s="106"/>
      <c r="P227" s="106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41"/>
    </row>
    <row r="228" spans="2:38" ht="15">
      <c r="B228" s="41"/>
      <c r="C228" s="41"/>
      <c r="D228" s="750" t="s">
        <v>281</v>
      </c>
      <c r="E228" s="751"/>
      <c r="F228" s="751"/>
      <c r="G228" s="751"/>
      <c r="H228" s="751"/>
      <c r="I228" s="751"/>
      <c r="J228" s="751"/>
      <c r="K228" s="751"/>
      <c r="L228" s="751"/>
      <c r="M228" s="752"/>
      <c r="N228" s="50"/>
      <c r="O228" s="50"/>
      <c r="P228" s="50"/>
      <c r="AL228" s="41"/>
    </row>
    <row r="229" spans="2:38" ht="15">
      <c r="B229" s="41"/>
      <c r="C229" s="41"/>
      <c r="D229" s="753" t="s">
        <v>282</v>
      </c>
      <c r="E229" s="754"/>
      <c r="F229" s="754"/>
      <c r="G229" s="754"/>
      <c r="H229" s="754"/>
      <c r="I229" s="754"/>
      <c r="J229" s="754"/>
      <c r="K229" s="754"/>
      <c r="L229" s="754"/>
      <c r="M229" s="755"/>
      <c r="N229" s="50"/>
      <c r="O229" s="50"/>
      <c r="P229" s="50"/>
      <c r="AL229" s="41"/>
    </row>
    <row r="230" spans="2:38">
      <c r="B230" s="41"/>
      <c r="C230" s="41"/>
      <c r="D230" s="130"/>
      <c r="E230" s="131"/>
      <c r="F230" s="131"/>
      <c r="G230" s="131"/>
      <c r="H230" s="131"/>
      <c r="I230" s="131"/>
      <c r="J230" s="131"/>
      <c r="K230" s="131"/>
      <c r="L230" s="131"/>
      <c r="M230" s="112"/>
      <c r="N230" s="50"/>
      <c r="O230" s="50"/>
      <c r="P230" s="50"/>
      <c r="AL230" s="41"/>
    </row>
    <row r="231" spans="2:38" ht="16.8">
      <c r="B231" s="41"/>
      <c r="C231" s="41"/>
      <c r="D231" s="782" t="s">
        <v>283</v>
      </c>
      <c r="E231" s="783"/>
      <c r="F231" s="783"/>
      <c r="G231" s="783"/>
      <c r="H231" s="783"/>
      <c r="I231" s="783"/>
      <c r="J231" s="783"/>
      <c r="K231" s="783"/>
      <c r="L231" s="783"/>
      <c r="M231" s="784"/>
      <c r="N231" s="50"/>
      <c r="O231" s="50"/>
      <c r="P231" s="50"/>
      <c r="AL231" s="41"/>
    </row>
    <row r="232" spans="2:38" ht="15">
      <c r="B232" s="41"/>
      <c r="C232" s="41"/>
      <c r="D232" s="750" t="s">
        <v>410</v>
      </c>
      <c r="E232" s="751"/>
      <c r="F232" s="751"/>
      <c r="G232" s="751"/>
      <c r="H232" s="751"/>
      <c r="I232" s="751"/>
      <c r="J232" s="751"/>
      <c r="K232" s="751"/>
      <c r="L232" s="751"/>
      <c r="M232" s="752"/>
      <c r="N232" s="50"/>
      <c r="O232" s="50"/>
      <c r="P232" s="50"/>
      <c r="AL232" s="41"/>
    </row>
    <row r="233" spans="2:38" ht="8.1" customHeight="1">
      <c r="B233" s="41"/>
      <c r="C233" s="41"/>
      <c r="D233" s="130"/>
      <c r="E233" s="131"/>
      <c r="F233" s="131"/>
      <c r="G233" s="131"/>
      <c r="H233" s="131"/>
      <c r="I233" s="131"/>
      <c r="J233" s="131"/>
      <c r="K233" s="131"/>
      <c r="L233" s="131"/>
      <c r="M233" s="112"/>
      <c r="N233" s="50"/>
      <c r="O233" s="50"/>
      <c r="P233" s="50"/>
      <c r="AL233" s="41"/>
    </row>
    <row r="234" spans="2:38" ht="8.1" customHeight="1">
      <c r="B234" s="41"/>
      <c r="C234" s="41"/>
      <c r="D234" s="130"/>
      <c r="E234" s="131"/>
      <c r="F234" s="131"/>
      <c r="G234" s="131"/>
      <c r="H234" s="131"/>
      <c r="I234" s="131"/>
      <c r="J234" s="131"/>
      <c r="K234" s="131"/>
      <c r="L234" s="131"/>
      <c r="M234" s="112"/>
      <c r="N234" s="50"/>
      <c r="O234" s="50"/>
      <c r="P234" s="50"/>
      <c r="AL234" s="41"/>
    </row>
    <row r="235" spans="2:38" ht="16.8">
      <c r="B235" s="41"/>
      <c r="C235" s="41"/>
      <c r="D235" s="773" t="s">
        <v>284</v>
      </c>
      <c r="E235" s="774"/>
      <c r="F235" s="774"/>
      <c r="G235" s="774"/>
      <c r="H235" s="774"/>
      <c r="I235" s="774"/>
      <c r="J235" s="774"/>
      <c r="K235" s="774"/>
      <c r="L235" s="774"/>
      <c r="M235" s="775"/>
      <c r="N235" s="50"/>
      <c r="O235" s="50"/>
      <c r="P235" s="50"/>
      <c r="AL235" s="41"/>
    </row>
    <row r="236" spans="2:38" ht="15">
      <c r="B236" s="41"/>
      <c r="C236" s="41"/>
      <c r="D236" s="776" t="s">
        <v>285</v>
      </c>
      <c r="E236" s="777"/>
      <c r="F236" s="777"/>
      <c r="G236" s="777"/>
      <c r="H236" s="777"/>
      <c r="I236" s="777"/>
      <c r="J236" s="777"/>
      <c r="K236" s="777"/>
      <c r="L236" s="777"/>
      <c r="M236" s="778"/>
      <c r="N236" s="50"/>
      <c r="O236" s="50"/>
      <c r="P236" s="50"/>
      <c r="AL236" s="41"/>
    </row>
    <row r="237" spans="2:38" ht="15">
      <c r="B237" s="41"/>
      <c r="C237" s="41"/>
      <c r="D237" s="776" t="s">
        <v>286</v>
      </c>
      <c r="E237" s="777"/>
      <c r="F237" s="777"/>
      <c r="G237" s="777"/>
      <c r="H237" s="777"/>
      <c r="I237" s="777"/>
      <c r="J237" s="777"/>
      <c r="K237" s="777"/>
      <c r="L237" s="777"/>
      <c r="M237" s="778"/>
      <c r="N237" s="50"/>
      <c r="O237" s="50"/>
      <c r="P237" s="50"/>
      <c r="AL237" s="41"/>
    </row>
    <row r="238" spans="2:38" ht="15">
      <c r="B238" s="41"/>
      <c r="C238" s="41"/>
      <c r="D238" s="133"/>
      <c r="E238" s="125"/>
      <c r="F238" s="125"/>
      <c r="G238" s="125"/>
      <c r="H238" s="125"/>
      <c r="I238" s="125"/>
      <c r="J238" s="125"/>
      <c r="K238" s="125"/>
      <c r="L238" s="131"/>
      <c r="M238" s="112"/>
      <c r="N238" s="50"/>
      <c r="O238" s="50"/>
      <c r="P238" s="50"/>
      <c r="AL238" s="41"/>
    </row>
    <row r="239" spans="2:38" ht="6" customHeight="1">
      <c r="B239" s="41"/>
      <c r="C239" s="41"/>
      <c r="D239" s="130"/>
      <c r="E239" s="131"/>
      <c r="F239" s="131"/>
      <c r="G239" s="131"/>
      <c r="H239" s="131"/>
      <c r="I239" s="131"/>
      <c r="J239" s="131"/>
      <c r="K239" s="131"/>
      <c r="L239" s="131"/>
      <c r="M239" s="112"/>
      <c r="N239" s="50"/>
      <c r="O239" s="50"/>
      <c r="P239" s="50"/>
      <c r="AL239" s="41"/>
    </row>
    <row r="240" spans="2:38" ht="15" customHeight="1">
      <c r="B240" s="41"/>
      <c r="C240" s="41"/>
      <c r="D240" s="779" t="s">
        <v>287</v>
      </c>
      <c r="E240" s="780"/>
      <c r="F240" s="780"/>
      <c r="G240" s="780"/>
      <c r="H240" s="780"/>
      <c r="I240" s="780"/>
      <c r="J240" s="780"/>
      <c r="K240" s="780"/>
      <c r="L240" s="780"/>
      <c r="M240" s="781"/>
      <c r="N240" s="106"/>
      <c r="O240" s="106"/>
      <c r="P240" s="106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41"/>
    </row>
    <row r="241" spans="2:38" ht="14.4" thickBot="1">
      <c r="B241" s="69"/>
      <c r="C241" s="69"/>
      <c r="D241" s="498"/>
      <c r="E241" s="499"/>
      <c r="F241" s="499"/>
      <c r="G241" s="499"/>
      <c r="H241" s="499"/>
      <c r="I241" s="499"/>
      <c r="J241" s="499"/>
      <c r="K241" s="499"/>
      <c r="L241" s="499"/>
      <c r="M241" s="500"/>
      <c r="N241" s="50"/>
      <c r="O241" s="50"/>
      <c r="P241" s="50"/>
      <c r="AL241" s="69"/>
    </row>
    <row r="242" spans="2:38" ht="20.100000000000001" customHeight="1" thickBot="1">
      <c r="B242" s="69"/>
      <c r="C242" s="69"/>
      <c r="D242" s="747" t="s">
        <v>19</v>
      </c>
      <c r="E242" s="748"/>
      <c r="F242" s="748"/>
      <c r="G242" s="748"/>
      <c r="H242" s="748"/>
      <c r="I242" s="748"/>
      <c r="J242" s="748"/>
      <c r="K242" s="748"/>
      <c r="L242" s="748"/>
      <c r="M242" s="749"/>
      <c r="N242" s="50"/>
      <c r="O242" s="50"/>
      <c r="P242" s="50"/>
      <c r="AL242" s="69"/>
    </row>
    <row r="243" spans="2:38" ht="13.8">
      <c r="B243" s="69"/>
      <c r="C243" s="69"/>
      <c r="D243" s="501"/>
      <c r="E243" s="502"/>
      <c r="F243" s="502"/>
      <c r="G243" s="502"/>
      <c r="H243" s="502"/>
      <c r="I243" s="502"/>
      <c r="J243" s="502"/>
      <c r="K243" s="502"/>
      <c r="L243" s="502"/>
      <c r="M243" s="503"/>
      <c r="N243" s="50"/>
      <c r="O243" s="50"/>
      <c r="P243" s="50"/>
      <c r="AL243" s="69"/>
    </row>
    <row r="244" spans="2:38" ht="14.25" customHeight="1">
      <c r="B244" s="69"/>
      <c r="C244" s="69"/>
      <c r="D244" s="763" t="s">
        <v>289</v>
      </c>
      <c r="E244" s="764"/>
      <c r="F244" s="764"/>
      <c r="G244" s="764"/>
      <c r="H244" s="764"/>
      <c r="I244" s="764"/>
      <c r="J244" s="764"/>
      <c r="K244" s="764"/>
      <c r="L244" s="764"/>
      <c r="M244" s="765"/>
      <c r="N244" s="50"/>
      <c r="O244" s="50"/>
      <c r="P244" s="50"/>
      <c r="AL244" s="69"/>
    </row>
    <row r="245" spans="2:38" ht="13.8">
      <c r="B245" s="69"/>
      <c r="C245" s="69"/>
      <c r="D245" s="767" t="s">
        <v>290</v>
      </c>
      <c r="E245" s="768"/>
      <c r="F245" s="768"/>
      <c r="G245" s="768"/>
      <c r="H245" s="768"/>
      <c r="I245" s="768"/>
      <c r="J245" s="768"/>
      <c r="K245" s="768"/>
      <c r="L245" s="768"/>
      <c r="M245" s="769"/>
      <c r="N245" s="50"/>
      <c r="O245" s="50"/>
      <c r="P245" s="50"/>
      <c r="AL245" s="69"/>
    </row>
    <row r="246" spans="2:38" ht="15">
      <c r="B246" s="69"/>
      <c r="C246" s="69"/>
      <c r="D246" s="128"/>
      <c r="E246" s="504" t="s">
        <v>427</v>
      </c>
      <c r="F246" s="50"/>
      <c r="G246" s="50"/>
      <c r="H246" s="50"/>
      <c r="I246" s="50"/>
      <c r="J246" s="50"/>
      <c r="K246" s="50"/>
      <c r="L246" s="50"/>
      <c r="M246" s="324"/>
      <c r="N246" s="50"/>
      <c r="O246" s="50"/>
      <c r="P246" s="50"/>
      <c r="AL246" s="69"/>
    </row>
    <row r="247" spans="2:38">
      <c r="B247" s="41"/>
      <c r="C247" s="41"/>
      <c r="D247" s="128"/>
      <c r="E247" s="479" t="s">
        <v>428</v>
      </c>
      <c r="F247" s="50"/>
      <c r="G247" s="50"/>
      <c r="H247" s="50"/>
      <c r="I247" s="50"/>
      <c r="J247" s="50"/>
      <c r="K247" s="50"/>
      <c r="L247" s="50"/>
      <c r="M247" s="324"/>
      <c r="N247" s="50"/>
      <c r="O247" s="50"/>
      <c r="P247" s="50"/>
      <c r="AL247" s="41"/>
    </row>
    <row r="248" spans="2:38" ht="15">
      <c r="B248" s="41"/>
      <c r="C248" s="41"/>
      <c r="D248" s="128"/>
      <c r="E248" s="504" t="s">
        <v>429</v>
      </c>
      <c r="F248" s="50"/>
      <c r="G248" s="50"/>
      <c r="H248" s="50"/>
      <c r="I248" s="50"/>
      <c r="J248" s="50"/>
      <c r="K248" s="50"/>
      <c r="L248" s="50"/>
      <c r="M248" s="324"/>
      <c r="N248" s="50"/>
      <c r="O248" s="50"/>
      <c r="P248" s="50"/>
      <c r="AL248" s="41"/>
    </row>
    <row r="249" spans="2:38">
      <c r="B249" s="41"/>
      <c r="C249" s="41"/>
      <c r="D249" s="128"/>
      <c r="E249" s="50" t="s">
        <v>430</v>
      </c>
      <c r="F249" s="50"/>
      <c r="G249" s="50"/>
      <c r="H249" s="50"/>
      <c r="I249" s="50"/>
      <c r="J249" s="50"/>
      <c r="K249" s="50"/>
      <c r="L249" s="50"/>
      <c r="M249" s="324"/>
      <c r="N249" s="50"/>
      <c r="O249" s="50"/>
      <c r="P249" s="50"/>
      <c r="AL249" s="41"/>
    </row>
    <row r="250" spans="2:38">
      <c r="B250" s="41"/>
      <c r="C250" s="41"/>
      <c r="D250" s="128"/>
      <c r="E250" s="50"/>
      <c r="F250" s="50"/>
      <c r="G250" s="50"/>
      <c r="H250" s="50"/>
      <c r="I250" s="50"/>
      <c r="J250" s="50"/>
      <c r="K250" s="50"/>
      <c r="L250" s="50"/>
      <c r="M250" s="324"/>
      <c r="N250" s="50"/>
      <c r="O250" s="50"/>
      <c r="P250" s="50"/>
      <c r="AL250" s="41"/>
    </row>
    <row r="251" spans="2:38" ht="23.4">
      <c r="B251" s="41"/>
      <c r="C251" s="41"/>
      <c r="D251" s="128"/>
      <c r="E251" s="50"/>
      <c r="F251" s="400" t="s">
        <v>288</v>
      </c>
      <c r="G251" s="50"/>
      <c r="H251" s="50"/>
      <c r="I251" s="50"/>
      <c r="J251" s="50"/>
      <c r="K251" s="50"/>
      <c r="L251" s="50"/>
      <c r="M251" s="324"/>
      <c r="N251" s="50"/>
      <c r="O251" s="50"/>
      <c r="P251" s="50"/>
      <c r="AL251" s="41"/>
    </row>
    <row r="252" spans="2:38">
      <c r="B252" s="41"/>
      <c r="C252" s="41"/>
      <c r="D252" s="128"/>
      <c r="E252" s="50"/>
      <c r="F252" s="50"/>
      <c r="G252" s="50"/>
      <c r="H252" s="50"/>
      <c r="I252" s="50"/>
      <c r="J252" s="50"/>
      <c r="K252" s="50"/>
      <c r="L252" s="50"/>
      <c r="M252" s="324"/>
      <c r="N252" s="50"/>
      <c r="O252" s="50"/>
      <c r="P252" s="50"/>
      <c r="AL252" s="41"/>
    </row>
    <row r="253" spans="2:38">
      <c r="B253" s="41"/>
      <c r="C253" s="41"/>
      <c r="D253" s="128"/>
      <c r="E253" s="50"/>
      <c r="F253" s="50"/>
      <c r="G253" s="50"/>
      <c r="H253" s="50"/>
      <c r="I253" s="50"/>
      <c r="J253" s="50"/>
      <c r="K253" s="50"/>
      <c r="L253" s="50"/>
      <c r="M253" s="324"/>
      <c r="N253" s="50"/>
      <c r="O253" s="50"/>
      <c r="P253" s="50"/>
      <c r="AL253" s="41"/>
    </row>
    <row r="254" spans="2:38">
      <c r="B254" s="41"/>
      <c r="C254" s="41"/>
      <c r="D254" s="128"/>
      <c r="E254" s="50"/>
      <c r="F254" s="50"/>
      <c r="G254" s="50"/>
      <c r="H254" s="50"/>
      <c r="I254" s="50"/>
      <c r="J254" s="50"/>
      <c r="K254" s="50"/>
      <c r="L254" s="50"/>
      <c r="M254" s="324"/>
      <c r="N254" s="50"/>
      <c r="O254" s="50"/>
      <c r="P254" s="50"/>
      <c r="AL254" s="41"/>
    </row>
    <row r="255" spans="2:38">
      <c r="B255" s="41"/>
      <c r="C255" s="41"/>
      <c r="D255" s="128"/>
      <c r="E255" s="50"/>
      <c r="F255" s="50"/>
      <c r="G255" s="50"/>
      <c r="H255" s="50"/>
      <c r="I255" s="50"/>
      <c r="J255" s="50"/>
      <c r="K255" s="50"/>
      <c r="L255" s="50"/>
      <c r="M255" s="324"/>
      <c r="N255" s="50"/>
      <c r="O255" s="50"/>
      <c r="P255" s="50"/>
      <c r="AL255" s="41"/>
    </row>
    <row r="256" spans="2:38" ht="8.1" customHeight="1" thickBot="1">
      <c r="B256" s="41"/>
      <c r="C256" s="41"/>
      <c r="D256" s="505"/>
      <c r="E256" s="398"/>
      <c r="F256" s="398"/>
      <c r="G256" s="398"/>
      <c r="H256" s="398"/>
      <c r="I256" s="398"/>
      <c r="J256" s="398"/>
      <c r="K256" s="398"/>
      <c r="L256" s="398"/>
      <c r="M256" s="399"/>
      <c r="N256" s="137"/>
      <c r="O256" s="137"/>
      <c r="P256" s="137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41"/>
    </row>
    <row r="257" spans="2:38" ht="20.100000000000001" customHeight="1" thickBot="1">
      <c r="B257" s="41"/>
      <c r="C257" s="41"/>
      <c r="D257" s="747" t="s">
        <v>264</v>
      </c>
      <c r="E257" s="748"/>
      <c r="F257" s="748"/>
      <c r="G257" s="748"/>
      <c r="H257" s="748"/>
      <c r="I257" s="748"/>
      <c r="J257" s="748"/>
      <c r="K257" s="748"/>
      <c r="L257" s="748"/>
      <c r="M257" s="749"/>
      <c r="N257" s="50"/>
      <c r="O257" s="50"/>
      <c r="P257" s="50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41"/>
    </row>
    <row r="258" spans="2:38" ht="30" customHeight="1">
      <c r="B258" s="41"/>
      <c r="C258" s="41"/>
      <c r="D258" s="770" t="s">
        <v>5</v>
      </c>
      <c r="E258" s="771"/>
      <c r="F258" s="771"/>
      <c r="G258" s="771"/>
      <c r="H258" s="771"/>
      <c r="I258" s="771"/>
      <c r="J258" s="771"/>
      <c r="K258" s="771"/>
      <c r="L258" s="771"/>
      <c r="M258" s="772"/>
      <c r="N258" s="50"/>
      <c r="O258" s="50"/>
      <c r="P258" s="50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41"/>
    </row>
    <row r="259" spans="2:38" ht="15">
      <c r="B259" s="41"/>
      <c r="C259" s="41"/>
      <c r="D259" s="133"/>
      <c r="E259" s="125" t="s">
        <v>195</v>
      </c>
      <c r="F259" s="105"/>
      <c r="G259" s="125"/>
      <c r="H259" s="125"/>
      <c r="I259" s="125"/>
      <c r="J259" s="125"/>
      <c r="K259" s="125"/>
      <c r="L259" s="125"/>
      <c r="M259" s="134"/>
      <c r="N259" s="50"/>
      <c r="O259" s="50"/>
      <c r="P259" s="50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41"/>
    </row>
    <row r="260" spans="2:38" ht="15">
      <c r="B260" s="41"/>
      <c r="C260" s="41"/>
      <c r="D260" s="133"/>
      <c r="E260" s="125"/>
      <c r="F260" s="105"/>
      <c r="G260" s="125"/>
      <c r="H260" s="125"/>
      <c r="I260" s="125"/>
      <c r="J260" s="125"/>
      <c r="K260" s="125"/>
      <c r="L260" s="125"/>
      <c r="M260" s="134"/>
      <c r="N260" s="50"/>
      <c r="O260" s="50"/>
      <c r="P260" s="50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41"/>
    </row>
    <row r="261" spans="2:38" ht="12.75" customHeight="1">
      <c r="B261" s="41"/>
      <c r="C261" s="41"/>
      <c r="D261" s="133"/>
      <c r="E261" s="143" t="s">
        <v>293</v>
      </c>
      <c r="F261" s="105"/>
      <c r="G261" s="125"/>
      <c r="H261" s="125"/>
      <c r="I261" s="125"/>
      <c r="J261" s="125"/>
      <c r="K261" s="125"/>
      <c r="L261" s="125"/>
      <c r="M261" s="134"/>
      <c r="N261" s="50"/>
      <c r="O261" s="50"/>
      <c r="P261" s="50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41"/>
    </row>
    <row r="262" spans="2:38" ht="12.75" customHeight="1">
      <c r="B262" s="41"/>
      <c r="C262" s="41"/>
      <c r="D262" s="133"/>
      <c r="E262" s="125" t="s">
        <v>294</v>
      </c>
      <c r="F262" s="105"/>
      <c r="G262" s="105"/>
      <c r="H262" s="125"/>
      <c r="I262" s="125"/>
      <c r="J262" s="125"/>
      <c r="K262" s="125"/>
      <c r="L262" s="125"/>
      <c r="M262" s="134"/>
      <c r="N262" s="50"/>
      <c r="O262" s="50"/>
      <c r="P262" s="50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41"/>
    </row>
    <row r="263" spans="2:38" ht="12.75" customHeight="1">
      <c r="B263" s="41"/>
      <c r="C263" s="41"/>
      <c r="D263" s="133"/>
      <c r="E263" s="143" t="s">
        <v>291</v>
      </c>
      <c r="F263" s="105"/>
      <c r="G263" s="125"/>
      <c r="H263" s="125"/>
      <c r="I263" s="125"/>
      <c r="J263" s="125"/>
      <c r="K263" s="125"/>
      <c r="L263" s="125"/>
      <c r="M263" s="134"/>
      <c r="N263" s="50"/>
      <c r="O263" s="50"/>
      <c r="P263" s="50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41"/>
    </row>
    <row r="264" spans="2:38" ht="12.75" customHeight="1">
      <c r="B264" s="41"/>
      <c r="C264" s="41"/>
      <c r="D264" s="133"/>
      <c r="E264" s="125" t="s">
        <v>396</v>
      </c>
      <c r="F264" s="105"/>
      <c r="G264" s="105"/>
      <c r="H264" s="125"/>
      <c r="I264" s="125"/>
      <c r="J264" s="125"/>
      <c r="K264" s="125"/>
      <c r="L264" s="125"/>
      <c r="M264" s="134"/>
      <c r="N264" s="50"/>
      <c r="O264" s="50"/>
      <c r="P264" s="50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41"/>
    </row>
    <row r="265" spans="2:38" ht="12.75" customHeight="1">
      <c r="B265" s="41"/>
      <c r="C265" s="41"/>
      <c r="D265" s="133"/>
      <c r="E265" s="143" t="s">
        <v>292</v>
      </c>
      <c r="F265" s="105"/>
      <c r="G265" s="125"/>
      <c r="H265" s="125"/>
      <c r="I265" s="125"/>
      <c r="J265" s="125"/>
      <c r="K265" s="125"/>
      <c r="L265" s="125"/>
      <c r="M265" s="134"/>
      <c r="N265" s="50"/>
      <c r="O265" s="50"/>
      <c r="P265" s="50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41"/>
    </row>
    <row r="266" spans="2:38" ht="12.75" customHeight="1">
      <c r="B266" s="41"/>
      <c r="C266" s="41"/>
      <c r="D266" s="133"/>
      <c r="E266" s="125" t="s">
        <v>397</v>
      </c>
      <c r="F266" s="105"/>
      <c r="G266" s="105"/>
      <c r="H266" s="125"/>
      <c r="I266" s="125"/>
      <c r="J266" s="125"/>
      <c r="K266" s="125"/>
      <c r="L266" s="125"/>
      <c r="M266" s="134"/>
      <c r="N266" s="50"/>
      <c r="O266" s="50"/>
      <c r="P266" s="50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41"/>
    </row>
    <row r="267" spans="2:38" ht="12.75" customHeight="1">
      <c r="B267" s="41"/>
      <c r="C267" s="41"/>
      <c r="D267" s="133"/>
      <c r="E267" s="143" t="s">
        <v>398</v>
      </c>
      <c r="F267" s="105"/>
      <c r="G267" s="125"/>
      <c r="H267" s="125"/>
      <c r="I267" s="125"/>
      <c r="J267" s="125"/>
      <c r="K267" s="125"/>
      <c r="L267" s="125"/>
      <c r="M267" s="134"/>
      <c r="N267" s="50"/>
      <c r="O267" s="50"/>
      <c r="P267" s="50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41"/>
    </row>
    <row r="268" spans="2:38" ht="12.75" customHeight="1">
      <c r="B268" s="41"/>
      <c r="C268" s="41"/>
      <c r="D268" s="133"/>
      <c r="E268" s="124"/>
      <c r="F268" s="105"/>
      <c r="G268" s="125"/>
      <c r="H268" s="125"/>
      <c r="I268" s="125"/>
      <c r="J268" s="125"/>
      <c r="K268" s="125"/>
      <c r="L268" s="125"/>
      <c r="M268" s="134"/>
      <c r="N268" s="50"/>
      <c r="O268" s="50"/>
      <c r="P268" s="50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41"/>
    </row>
    <row r="269" spans="2:38" ht="12.75" customHeight="1">
      <c r="B269" s="41"/>
      <c r="C269" s="41"/>
      <c r="D269" s="133"/>
      <c r="E269" s="143" t="s">
        <v>399</v>
      </c>
      <c r="F269" s="105"/>
      <c r="G269" s="125"/>
      <c r="H269" s="125"/>
      <c r="I269" s="125"/>
      <c r="J269" s="125"/>
      <c r="K269" s="125"/>
      <c r="L269" s="125"/>
      <c r="M269" s="134"/>
      <c r="N269" s="50"/>
      <c r="O269" s="50"/>
      <c r="P269" s="50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41"/>
    </row>
    <row r="270" spans="2:38" ht="12.75" customHeight="1">
      <c r="B270" s="41"/>
      <c r="C270" s="41"/>
      <c r="D270" s="133"/>
      <c r="E270" s="124"/>
      <c r="F270" s="105"/>
      <c r="G270" s="125"/>
      <c r="H270" s="125"/>
      <c r="I270" s="125"/>
      <c r="J270" s="125"/>
      <c r="K270" s="125"/>
      <c r="L270" s="125"/>
      <c r="M270" s="134"/>
      <c r="N270" s="50"/>
      <c r="O270" s="50"/>
      <c r="P270" s="50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41"/>
    </row>
    <row r="271" spans="2:38" ht="12.75" customHeight="1">
      <c r="B271" s="41"/>
      <c r="C271" s="41"/>
      <c r="D271" s="133"/>
      <c r="E271" s="143" t="s">
        <v>431</v>
      </c>
      <c r="F271" s="105"/>
      <c r="G271" s="125"/>
      <c r="H271" s="125"/>
      <c r="I271" s="125"/>
      <c r="J271" s="125"/>
      <c r="K271" s="125"/>
      <c r="L271" s="125"/>
      <c r="M271" s="134"/>
      <c r="N271" s="50"/>
      <c r="O271" s="50"/>
      <c r="P271" s="50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41"/>
    </row>
    <row r="272" spans="2:38" ht="12.75" customHeight="1">
      <c r="B272" s="41"/>
      <c r="C272" s="41"/>
      <c r="D272" s="133"/>
      <c r="E272" s="125" t="s">
        <v>432</v>
      </c>
      <c r="F272" s="105"/>
      <c r="G272" s="125"/>
      <c r="H272" s="125"/>
      <c r="I272" s="125"/>
      <c r="J272" s="125"/>
      <c r="K272" s="125"/>
      <c r="L272" s="125"/>
      <c r="M272" s="134"/>
      <c r="N272" s="50"/>
      <c r="O272" s="50"/>
      <c r="P272" s="50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41"/>
    </row>
    <row r="273" spans="2:38" ht="12.75" customHeight="1">
      <c r="B273" s="41"/>
      <c r="C273" s="41"/>
      <c r="D273" s="133"/>
      <c r="E273" s="507"/>
      <c r="F273" s="105"/>
      <c r="G273" s="125"/>
      <c r="H273" s="125"/>
      <c r="I273" s="125"/>
      <c r="J273" s="125"/>
      <c r="K273" s="125"/>
      <c r="L273" s="125"/>
      <c r="M273" s="134"/>
      <c r="N273" s="50"/>
      <c r="O273" s="50"/>
      <c r="P273" s="50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41"/>
    </row>
    <row r="274" spans="2:38" ht="12.75" customHeight="1">
      <c r="B274" s="41"/>
      <c r="C274" s="41"/>
      <c r="D274" s="133"/>
      <c r="E274" s="143" t="s">
        <v>400</v>
      </c>
      <c r="F274" s="105"/>
      <c r="G274" s="125"/>
      <c r="H274" s="125"/>
      <c r="I274" s="125"/>
      <c r="J274" s="125"/>
      <c r="K274" s="125"/>
      <c r="L274" s="125"/>
      <c r="M274" s="134"/>
      <c r="N274" s="50"/>
      <c r="O274" s="50"/>
      <c r="P274" s="50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41"/>
    </row>
    <row r="275" spans="2:38" ht="12.75" customHeight="1">
      <c r="B275" s="41"/>
      <c r="C275" s="41"/>
      <c r="D275" s="133"/>
      <c r="E275" s="507"/>
      <c r="F275" s="105"/>
      <c r="G275" s="125"/>
      <c r="H275" s="125"/>
      <c r="I275" s="125"/>
      <c r="J275" s="125"/>
      <c r="K275" s="125"/>
      <c r="L275" s="125"/>
      <c r="M275" s="134"/>
      <c r="N275" s="50"/>
      <c r="O275" s="50"/>
      <c r="P275" s="50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41"/>
    </row>
    <row r="276" spans="2:38" ht="12.75" customHeight="1">
      <c r="B276" s="41"/>
      <c r="C276" s="41"/>
      <c r="D276" s="133"/>
      <c r="E276" s="143" t="s">
        <v>401</v>
      </c>
      <c r="F276" s="105"/>
      <c r="G276" s="125"/>
      <c r="H276" s="125"/>
      <c r="I276" s="125"/>
      <c r="J276" s="125"/>
      <c r="K276" s="125"/>
      <c r="L276" s="125"/>
      <c r="M276" s="134"/>
      <c r="N276" s="50"/>
      <c r="O276" s="50"/>
      <c r="P276" s="50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41"/>
    </row>
    <row r="277" spans="2:38" ht="15">
      <c r="B277" s="41"/>
      <c r="C277" s="41"/>
      <c r="D277" s="133"/>
      <c r="E277" s="507"/>
      <c r="F277" s="105"/>
      <c r="G277" s="125"/>
      <c r="H277" s="125"/>
      <c r="I277" s="125"/>
      <c r="J277" s="125"/>
      <c r="K277" s="125"/>
      <c r="L277" s="125"/>
      <c r="M277" s="134"/>
      <c r="N277" s="50"/>
      <c r="O277" s="50"/>
      <c r="P277" s="50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41"/>
    </row>
    <row r="278" spans="2:38" ht="15">
      <c r="B278" s="41"/>
      <c r="C278" s="41"/>
      <c r="D278" s="133"/>
      <c r="E278" s="143"/>
      <c r="F278" s="105"/>
      <c r="G278" s="125"/>
      <c r="H278" s="125"/>
      <c r="I278" s="125"/>
      <c r="J278" s="125"/>
      <c r="K278" s="125"/>
      <c r="L278" s="125"/>
      <c r="M278" s="134"/>
      <c r="N278" s="50"/>
      <c r="O278" s="50"/>
      <c r="P278" s="50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41"/>
    </row>
    <row r="279" spans="2:38" ht="16.8">
      <c r="B279" s="41"/>
      <c r="C279" s="41"/>
      <c r="D279" s="133"/>
      <c r="E279" s="508" t="s">
        <v>196</v>
      </c>
      <c r="F279" s="105"/>
      <c r="G279" s="125"/>
      <c r="H279" s="125"/>
      <c r="I279" s="125"/>
      <c r="J279" s="125"/>
      <c r="K279" s="125"/>
      <c r="L279" s="125"/>
      <c r="M279" s="134"/>
      <c r="N279" s="50"/>
      <c r="O279" s="50"/>
      <c r="P279" s="50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41"/>
    </row>
    <row r="280" spans="2:38" ht="12.75" customHeight="1">
      <c r="B280" s="41"/>
      <c r="C280" s="41"/>
      <c r="D280" s="133"/>
      <c r="E280" s="125" t="s">
        <v>479</v>
      </c>
      <c r="F280" s="105"/>
      <c r="G280" s="125"/>
      <c r="H280" s="202"/>
      <c r="I280" s="202"/>
      <c r="J280" s="202"/>
      <c r="K280" s="202"/>
      <c r="L280" s="125"/>
      <c r="M280" s="134"/>
      <c r="N280" s="50"/>
      <c r="O280" s="50"/>
      <c r="P280" s="50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41"/>
    </row>
    <row r="281" spans="2:38" ht="12.75" customHeight="1">
      <c r="B281" s="41"/>
      <c r="C281" s="41"/>
      <c r="D281" s="133"/>
      <c r="E281" s="125" t="s">
        <v>433</v>
      </c>
      <c r="F281" s="105"/>
      <c r="G281" s="125"/>
      <c r="H281" s="202"/>
      <c r="I281" s="202"/>
      <c r="J281" s="202"/>
      <c r="K281" s="202"/>
      <c r="L281" s="125"/>
      <c r="M281" s="134"/>
      <c r="N281" s="50"/>
      <c r="O281" s="50"/>
      <c r="P281" s="50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41"/>
    </row>
    <row r="282" spans="2:38" ht="20.100000000000001" customHeight="1">
      <c r="B282" s="41"/>
      <c r="C282" s="41"/>
      <c r="D282" s="133"/>
      <c r="E282" s="143" t="s">
        <v>295</v>
      </c>
      <c r="F282" s="105"/>
      <c r="G282" s="125"/>
      <c r="H282" s="202"/>
      <c r="I282" s="202"/>
      <c r="J282" s="202"/>
      <c r="K282" s="202"/>
      <c r="L282" s="125"/>
      <c r="M282" s="134"/>
      <c r="N282" s="50"/>
      <c r="O282" s="50"/>
      <c r="P282" s="50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41"/>
    </row>
    <row r="283" spans="2:38" ht="12.75" customHeight="1">
      <c r="B283" s="41"/>
      <c r="C283" s="41"/>
      <c r="D283" s="133"/>
      <c r="E283" s="143" t="s">
        <v>434</v>
      </c>
      <c r="F283" s="105"/>
      <c r="G283" s="125"/>
      <c r="H283" s="125"/>
      <c r="I283" s="125"/>
      <c r="J283" s="125"/>
      <c r="K283" s="125"/>
      <c r="L283" s="125"/>
      <c r="M283" s="134"/>
      <c r="N283" s="50"/>
      <c r="O283" s="50"/>
      <c r="P283" s="50"/>
      <c r="AL283" s="41"/>
    </row>
    <row r="284" spans="2:38" ht="12.75" customHeight="1">
      <c r="B284" s="41"/>
      <c r="C284" s="41"/>
      <c r="D284" s="133"/>
      <c r="E284" s="125" t="s">
        <v>435</v>
      </c>
      <c r="F284" s="105"/>
      <c r="G284" s="125"/>
      <c r="H284" s="125"/>
      <c r="I284" s="125"/>
      <c r="J284" s="125"/>
      <c r="K284" s="125"/>
      <c r="L284" s="125"/>
      <c r="M284" s="134"/>
      <c r="N284" s="50"/>
      <c r="O284" s="50"/>
      <c r="P284" s="50"/>
      <c r="AL284" s="41"/>
    </row>
    <row r="285" spans="2:38" ht="12.75" customHeight="1">
      <c r="B285" s="41"/>
      <c r="C285" s="41"/>
      <c r="D285" s="133"/>
      <c r="E285" s="143" t="s">
        <v>296</v>
      </c>
      <c r="F285" s="105"/>
      <c r="G285" s="125"/>
      <c r="H285" s="125"/>
      <c r="I285" s="125"/>
      <c r="J285" s="125"/>
      <c r="K285" s="125"/>
      <c r="L285" s="125"/>
      <c r="M285" s="134"/>
      <c r="N285" s="50"/>
      <c r="O285" s="50"/>
      <c r="P285" s="50"/>
      <c r="AL285" s="41"/>
    </row>
    <row r="286" spans="2:38" ht="12.75" customHeight="1">
      <c r="B286" s="41"/>
      <c r="C286" s="41"/>
      <c r="D286" s="133"/>
      <c r="E286" s="125" t="s">
        <v>297</v>
      </c>
      <c r="F286" s="105"/>
      <c r="G286" s="125"/>
      <c r="H286" s="125"/>
      <c r="I286" s="125"/>
      <c r="J286" s="125"/>
      <c r="K286" s="125"/>
      <c r="L286" s="125"/>
      <c r="M286" s="134"/>
      <c r="N286" s="50"/>
      <c r="O286" s="50"/>
      <c r="P286" s="50"/>
      <c r="AL286" s="41"/>
    </row>
    <row r="287" spans="2:38" ht="12.75" customHeight="1">
      <c r="B287" s="41"/>
      <c r="C287" s="41"/>
      <c r="D287" s="133"/>
      <c r="E287" s="125" t="s">
        <v>480</v>
      </c>
      <c r="F287" s="105"/>
      <c r="G287" s="125"/>
      <c r="H287" s="125"/>
      <c r="I287" s="125"/>
      <c r="J287" s="125"/>
      <c r="K287" s="125"/>
      <c r="L287" s="125"/>
      <c r="M287" s="134"/>
      <c r="N287" s="50"/>
      <c r="O287" s="50"/>
      <c r="P287" s="50"/>
      <c r="AL287" s="41"/>
    </row>
    <row r="288" spans="2:38" ht="12.75" customHeight="1">
      <c r="B288" s="41"/>
      <c r="C288" s="41"/>
      <c r="D288" s="133"/>
      <c r="E288" s="125" t="s">
        <v>318</v>
      </c>
      <c r="F288" s="105"/>
      <c r="G288" s="125"/>
      <c r="H288" s="125"/>
      <c r="I288" s="125"/>
      <c r="J288" s="125"/>
      <c r="K288" s="125"/>
      <c r="L288" s="125"/>
      <c r="M288" s="134"/>
      <c r="N288" s="50"/>
      <c r="O288" s="50"/>
      <c r="P288" s="50"/>
      <c r="AL288" s="41"/>
    </row>
    <row r="289" spans="2:38" ht="12.75" customHeight="1">
      <c r="B289" s="41"/>
      <c r="C289" s="41"/>
      <c r="D289" s="133"/>
      <c r="E289" s="125"/>
      <c r="F289" s="105"/>
      <c r="G289" s="125"/>
      <c r="H289" s="125"/>
      <c r="I289" s="125"/>
      <c r="J289" s="125"/>
      <c r="K289" s="125"/>
      <c r="L289" s="125"/>
      <c r="M289" s="134"/>
      <c r="N289" s="50"/>
      <c r="O289" s="50"/>
      <c r="P289" s="50"/>
      <c r="AL289" s="41"/>
    </row>
    <row r="290" spans="2:38" ht="12.75" customHeight="1">
      <c r="B290" s="41"/>
      <c r="C290" s="41"/>
      <c r="D290" s="757" t="s">
        <v>319</v>
      </c>
      <c r="E290" s="758"/>
      <c r="F290" s="758"/>
      <c r="G290" s="758"/>
      <c r="H290" s="758"/>
      <c r="I290" s="758"/>
      <c r="J290" s="758"/>
      <c r="K290" s="758"/>
      <c r="L290" s="758"/>
      <c r="M290" s="759"/>
      <c r="N290" s="50"/>
      <c r="O290" s="50"/>
      <c r="P290" s="50"/>
      <c r="AL290" s="41"/>
    </row>
    <row r="291" spans="2:38" ht="12.75" customHeight="1">
      <c r="D291" s="757" t="s">
        <v>320</v>
      </c>
      <c r="E291" s="758"/>
      <c r="F291" s="758"/>
      <c r="G291" s="758"/>
      <c r="H291" s="758"/>
      <c r="I291" s="758"/>
      <c r="J291" s="758"/>
      <c r="K291" s="758"/>
      <c r="L291" s="758"/>
      <c r="M291" s="759"/>
      <c r="N291" s="140"/>
      <c r="O291" s="140"/>
      <c r="P291" s="140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</row>
    <row r="292" spans="2:38" ht="12.75" customHeight="1">
      <c r="D292" s="757" t="s">
        <v>321</v>
      </c>
      <c r="E292" s="758"/>
      <c r="F292" s="758"/>
      <c r="G292" s="758"/>
      <c r="H292" s="758"/>
      <c r="I292" s="758"/>
      <c r="J292" s="758"/>
      <c r="K292" s="758"/>
      <c r="L292" s="758"/>
      <c r="M292" s="759"/>
      <c r="N292" s="50"/>
      <c r="O292" s="50"/>
      <c r="P292" s="50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</row>
    <row r="293" spans="2:38" ht="9.9" customHeight="1">
      <c r="D293" s="133"/>
      <c r="E293" s="125"/>
      <c r="F293" s="125"/>
      <c r="G293" s="125"/>
      <c r="H293" s="125"/>
      <c r="I293" s="125"/>
      <c r="J293" s="125"/>
      <c r="K293" s="125"/>
      <c r="L293" s="125"/>
      <c r="M293" s="134"/>
      <c r="N293" s="50"/>
      <c r="O293" s="50"/>
      <c r="P293" s="50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</row>
    <row r="294" spans="2:38" ht="9.9" customHeight="1" thickBot="1">
      <c r="D294" s="133"/>
      <c r="E294" s="125"/>
      <c r="F294" s="125"/>
      <c r="G294" s="125"/>
      <c r="H294" s="125"/>
      <c r="I294" s="125"/>
      <c r="J294" s="125"/>
      <c r="K294" s="125"/>
      <c r="L294" s="125"/>
      <c r="M294" s="134"/>
      <c r="N294" s="50"/>
      <c r="O294" s="50"/>
      <c r="P294" s="50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</row>
    <row r="295" spans="2:38" ht="20.100000000000001" customHeight="1" thickBot="1">
      <c r="D295" s="760" t="s">
        <v>317</v>
      </c>
      <c r="E295" s="761"/>
      <c r="F295" s="761"/>
      <c r="G295" s="761"/>
      <c r="H295" s="761"/>
      <c r="I295" s="761"/>
      <c r="J295" s="761"/>
      <c r="K295" s="761"/>
      <c r="L295" s="761"/>
      <c r="M295" s="762"/>
      <c r="N295" s="50"/>
      <c r="O295" s="50"/>
      <c r="P295" s="50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</row>
    <row r="296" spans="2:38" ht="8.1" customHeight="1">
      <c r="D296" s="506"/>
      <c r="E296" s="93"/>
      <c r="F296" s="93"/>
      <c r="G296" s="93"/>
      <c r="H296" s="93"/>
      <c r="I296" s="93"/>
      <c r="J296" s="93"/>
      <c r="K296" s="93"/>
      <c r="L296" s="92"/>
      <c r="M296" s="132"/>
      <c r="N296" s="50"/>
      <c r="O296" s="50"/>
      <c r="P296" s="50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</row>
    <row r="297" spans="2:38" ht="18" customHeight="1">
      <c r="D297" s="130"/>
      <c r="E297" s="512" t="s">
        <v>79</v>
      </c>
      <c r="F297" s="105"/>
      <c r="G297" s="138"/>
      <c r="H297" s="93"/>
      <c r="I297" s="93"/>
      <c r="J297" s="93"/>
      <c r="K297" s="93"/>
      <c r="L297" s="92"/>
      <c r="M297" s="132"/>
      <c r="N297" s="50"/>
      <c r="O297" s="50"/>
      <c r="P297" s="50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</row>
    <row r="298" spans="2:38" ht="5.0999999999999996" customHeight="1">
      <c r="D298" s="130"/>
      <c r="E298" s="105"/>
      <c r="F298" s="105"/>
      <c r="G298" s="105"/>
      <c r="H298" s="105"/>
      <c r="I298" s="105"/>
      <c r="J298" s="105"/>
      <c r="K298" s="105"/>
      <c r="L298" s="105"/>
      <c r="M298" s="132"/>
      <c r="N298" s="50"/>
      <c r="O298" s="50"/>
      <c r="P298" s="50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</row>
    <row r="299" spans="2:38" ht="12.75" customHeight="1">
      <c r="D299" s="130"/>
      <c r="E299" s="143" t="s">
        <v>298</v>
      </c>
      <c r="F299" s="105"/>
      <c r="G299" s="125"/>
      <c r="H299" s="105"/>
      <c r="I299" s="105"/>
      <c r="J299" s="105"/>
      <c r="K299" s="105"/>
      <c r="L299" s="105"/>
      <c r="M299" s="132"/>
      <c r="N299" s="50"/>
      <c r="O299" s="50"/>
      <c r="P299" s="50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</row>
    <row r="300" spans="2:38" ht="12.75" customHeight="1">
      <c r="D300" s="130"/>
      <c r="E300" s="143" t="s">
        <v>299</v>
      </c>
      <c r="F300" s="105"/>
      <c r="G300" s="125"/>
      <c r="H300" s="105"/>
      <c r="I300" s="105"/>
      <c r="J300" s="105"/>
      <c r="K300" s="105"/>
      <c r="L300" s="105"/>
      <c r="M300" s="132"/>
      <c r="N300" s="50"/>
      <c r="O300" s="50"/>
      <c r="P300" s="50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</row>
    <row r="301" spans="2:38" ht="12.75" customHeight="1">
      <c r="D301" s="130"/>
      <c r="E301" s="143" t="s">
        <v>300</v>
      </c>
      <c r="F301" s="105"/>
      <c r="G301" s="125"/>
      <c r="H301" s="105"/>
      <c r="I301" s="105"/>
      <c r="J301" s="105"/>
      <c r="K301" s="105"/>
      <c r="L301" s="105"/>
      <c r="M301" s="132"/>
      <c r="N301" s="50"/>
      <c r="O301" s="50"/>
      <c r="P301" s="50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</row>
    <row r="302" spans="2:38" ht="12.75" customHeight="1">
      <c r="D302" s="130"/>
      <c r="E302" s="143" t="s">
        <v>301</v>
      </c>
      <c r="F302" s="105"/>
      <c r="G302" s="125"/>
      <c r="H302" s="105"/>
      <c r="I302" s="105"/>
      <c r="J302" s="105"/>
      <c r="K302" s="105"/>
      <c r="L302" s="105"/>
      <c r="M302" s="132"/>
      <c r="N302" s="50"/>
      <c r="O302" s="50"/>
      <c r="P302" s="50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</row>
    <row r="303" spans="2:38" ht="12.75" customHeight="1">
      <c r="D303" s="130"/>
      <c r="E303" s="143" t="s">
        <v>302</v>
      </c>
      <c r="F303" s="105"/>
      <c r="G303" s="125"/>
      <c r="H303" s="105"/>
      <c r="I303" s="105"/>
      <c r="J303" s="105"/>
      <c r="K303" s="105"/>
      <c r="L303" s="105"/>
      <c r="M303" s="132"/>
      <c r="N303" s="50"/>
      <c r="O303" s="50"/>
      <c r="P303" s="50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</row>
    <row r="304" spans="2:38" ht="12.75" customHeight="1">
      <c r="D304" s="130"/>
      <c r="E304" s="143" t="s">
        <v>322</v>
      </c>
      <c r="F304" s="105"/>
      <c r="G304" s="105"/>
      <c r="H304" s="105"/>
      <c r="I304" s="105"/>
      <c r="J304" s="105"/>
      <c r="K304" s="105"/>
      <c r="L304" s="105"/>
      <c r="M304" s="132"/>
      <c r="N304" s="50"/>
      <c r="O304" s="50"/>
      <c r="P304" s="50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</row>
    <row r="305" spans="4:37" ht="12.75" customHeight="1">
      <c r="D305" s="130"/>
      <c r="E305" s="105" t="s">
        <v>323</v>
      </c>
      <c r="F305" s="105"/>
      <c r="G305" s="125"/>
      <c r="H305" s="144"/>
      <c r="I305" s="144"/>
      <c r="J305" s="144"/>
      <c r="K305" s="144"/>
      <c r="L305" s="131"/>
      <c r="M305" s="132"/>
      <c r="N305" s="50"/>
      <c r="O305" s="50"/>
      <c r="P305" s="50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</row>
    <row r="306" spans="4:37" ht="12.75" customHeight="1">
      <c r="D306" s="130"/>
      <c r="E306" s="143" t="s">
        <v>303</v>
      </c>
      <c r="F306" s="105"/>
      <c r="G306" s="105"/>
      <c r="H306" s="144"/>
      <c r="I306" s="144"/>
      <c r="J306" s="93"/>
      <c r="K306" s="93"/>
      <c r="L306" s="92"/>
      <c r="M306" s="132"/>
      <c r="N306" s="50"/>
      <c r="O306" s="50"/>
      <c r="P306" s="50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</row>
    <row r="307" spans="4:37" ht="12.75" customHeight="1">
      <c r="D307" s="130"/>
      <c r="E307" s="143" t="s">
        <v>304</v>
      </c>
      <c r="F307" s="105"/>
      <c r="G307" s="105"/>
      <c r="H307" s="144"/>
      <c r="I307" s="144"/>
      <c r="J307" s="93"/>
      <c r="K307" s="93"/>
      <c r="L307" s="92"/>
      <c r="M307" s="132"/>
      <c r="N307" s="50"/>
      <c r="O307" s="50"/>
      <c r="P307" s="50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</row>
    <row r="308" spans="4:37" ht="12.75" customHeight="1">
      <c r="D308" s="130"/>
      <c r="E308" s="143" t="s">
        <v>305</v>
      </c>
      <c r="F308" s="105"/>
      <c r="G308" s="105"/>
      <c r="H308" s="144"/>
      <c r="I308" s="144"/>
      <c r="J308" s="93"/>
      <c r="K308" s="93"/>
      <c r="L308" s="92"/>
      <c r="M308" s="132"/>
      <c r="N308" s="50"/>
      <c r="O308" s="50"/>
      <c r="P308" s="50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</row>
    <row r="309" spans="4:37" ht="12.75" customHeight="1">
      <c r="D309" s="130"/>
      <c r="E309" s="143" t="s">
        <v>306</v>
      </c>
      <c r="F309" s="105"/>
      <c r="G309" s="105"/>
      <c r="H309" s="144"/>
      <c r="I309" s="144"/>
      <c r="J309" s="93"/>
      <c r="K309" s="93"/>
      <c r="L309" s="92"/>
      <c r="M309" s="132"/>
      <c r="N309" s="50"/>
      <c r="O309" s="50"/>
      <c r="P309" s="50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</row>
    <row r="310" spans="4:37" ht="12.75" customHeight="1">
      <c r="D310" s="130"/>
      <c r="E310" s="143" t="s">
        <v>307</v>
      </c>
      <c r="F310" s="105"/>
      <c r="G310" s="105"/>
      <c r="H310" s="144"/>
      <c r="I310" s="144"/>
      <c r="J310" s="93"/>
      <c r="K310" s="93"/>
      <c r="L310" s="92"/>
      <c r="M310" s="132"/>
      <c r="N310" s="50"/>
      <c r="O310" s="50"/>
      <c r="P310" s="50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</row>
    <row r="311" spans="4:37" ht="12.75" customHeight="1">
      <c r="D311" s="130"/>
      <c r="E311" s="143" t="s">
        <v>308</v>
      </c>
      <c r="F311" s="105"/>
      <c r="G311" s="125"/>
      <c r="H311" s="144"/>
      <c r="I311" s="144"/>
      <c r="J311" s="93"/>
      <c r="K311" s="93"/>
      <c r="L311" s="92"/>
      <c r="M311" s="132"/>
      <c r="N311" s="50"/>
      <c r="O311" s="50"/>
      <c r="P311" s="50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</row>
    <row r="312" spans="4:37" ht="12.75" customHeight="1">
      <c r="D312" s="130"/>
      <c r="E312" s="139" t="s">
        <v>309</v>
      </c>
      <c r="F312" s="105"/>
      <c r="G312" s="138"/>
      <c r="H312" s="93"/>
      <c r="I312" s="93"/>
      <c r="J312" s="93"/>
      <c r="K312" s="93"/>
      <c r="L312" s="92"/>
      <c r="M312" s="132"/>
      <c r="N312" s="50"/>
      <c r="O312" s="50"/>
      <c r="P312" s="50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</row>
    <row r="313" spans="4:37" ht="18" customHeight="1">
      <c r="D313" s="130"/>
      <c r="E313" s="138"/>
      <c r="F313" s="105"/>
      <c r="G313" s="138"/>
      <c r="H313" s="93"/>
      <c r="I313" s="93"/>
      <c r="J313" s="93"/>
      <c r="K313" s="93"/>
      <c r="L313" s="92"/>
      <c r="M313" s="132"/>
      <c r="N313" s="50"/>
      <c r="O313" s="50"/>
      <c r="P313" s="50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</row>
    <row r="314" spans="4:37" ht="18" customHeight="1">
      <c r="D314" s="130"/>
      <c r="E314" s="512" t="s">
        <v>241</v>
      </c>
      <c r="F314" s="105"/>
      <c r="G314" s="138"/>
      <c r="H314" s="93"/>
      <c r="I314" s="93"/>
      <c r="J314" s="93"/>
      <c r="K314" s="93"/>
      <c r="L314" s="92"/>
      <c r="M314" s="132"/>
      <c r="N314" s="50"/>
      <c r="O314" s="50"/>
      <c r="P314" s="50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</row>
    <row r="315" spans="4:37" ht="12.75" customHeight="1">
      <c r="D315" s="130"/>
      <c r="E315" s="139" t="s">
        <v>324</v>
      </c>
      <c r="F315" s="105"/>
      <c r="G315" s="138"/>
      <c r="H315" s="93"/>
      <c r="I315" s="93"/>
      <c r="J315" s="93"/>
      <c r="K315" s="93"/>
      <c r="L315" s="92"/>
      <c r="M315" s="132"/>
      <c r="N315" s="50"/>
      <c r="O315" s="50"/>
      <c r="P315" s="50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</row>
    <row r="316" spans="4:37" ht="12.75" customHeight="1">
      <c r="D316" s="130"/>
      <c r="E316" s="141" t="s">
        <v>325</v>
      </c>
      <c r="F316" s="105"/>
      <c r="G316" s="125"/>
      <c r="H316" s="93"/>
      <c r="I316" s="93"/>
      <c r="J316" s="93"/>
      <c r="K316" s="93"/>
      <c r="L316" s="92"/>
      <c r="M316" s="132"/>
      <c r="N316" s="50"/>
      <c r="O316" s="50"/>
      <c r="P316" s="50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</row>
    <row r="317" spans="4:37" ht="12.75" customHeight="1">
      <c r="D317" s="130"/>
      <c r="E317" s="143" t="s">
        <v>310</v>
      </c>
      <c r="F317" s="105"/>
      <c r="G317" s="125"/>
      <c r="H317" s="93"/>
      <c r="I317" s="93"/>
      <c r="J317" s="93"/>
      <c r="K317" s="93"/>
      <c r="L317" s="92"/>
      <c r="M317" s="132"/>
      <c r="N317" s="50"/>
      <c r="O317" s="50"/>
      <c r="P317" s="50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</row>
    <row r="318" spans="4:37" ht="12.75" customHeight="1">
      <c r="D318" s="130"/>
      <c r="E318" s="125" t="s">
        <v>326</v>
      </c>
      <c r="F318" s="105"/>
      <c r="G318" s="125"/>
      <c r="H318" s="93"/>
      <c r="I318" s="93"/>
      <c r="J318" s="93"/>
      <c r="K318" s="93"/>
      <c r="L318" s="92"/>
      <c r="M318" s="132"/>
      <c r="N318" s="50"/>
      <c r="O318" s="50"/>
      <c r="P318" s="50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</row>
    <row r="319" spans="4:37" ht="12.75" customHeight="1">
      <c r="D319" s="130"/>
      <c r="E319" s="141" t="s">
        <v>327</v>
      </c>
      <c r="F319" s="105"/>
      <c r="G319" s="125"/>
      <c r="H319" s="93"/>
      <c r="I319" s="93"/>
      <c r="J319" s="93"/>
      <c r="K319" s="93"/>
      <c r="L319" s="92"/>
      <c r="M319" s="132"/>
      <c r="N319" s="50"/>
      <c r="O319" s="50"/>
      <c r="P319" s="50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</row>
    <row r="320" spans="4:37" ht="12.75" customHeight="1">
      <c r="D320" s="130"/>
      <c r="E320" s="143" t="s">
        <v>328</v>
      </c>
      <c r="F320" s="105"/>
      <c r="G320" s="125"/>
      <c r="H320" s="93"/>
      <c r="I320" s="93"/>
      <c r="J320" s="93"/>
      <c r="K320" s="93"/>
      <c r="L320" s="92"/>
      <c r="M320" s="132"/>
      <c r="N320" s="50"/>
      <c r="O320" s="50"/>
      <c r="P320" s="50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</row>
    <row r="321" spans="4:37" ht="12.75" customHeight="1">
      <c r="D321" s="130"/>
      <c r="E321" s="141" t="s">
        <v>329</v>
      </c>
      <c r="F321" s="105"/>
      <c r="G321" s="125"/>
      <c r="H321" s="93"/>
      <c r="I321" s="93"/>
      <c r="J321" s="93"/>
      <c r="K321" s="93"/>
      <c r="L321" s="92"/>
      <c r="M321" s="132"/>
      <c r="N321" s="50"/>
      <c r="O321" s="50"/>
      <c r="P321" s="50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</row>
    <row r="322" spans="4:37" ht="12.75" customHeight="1">
      <c r="D322" s="130"/>
      <c r="E322" s="138" t="s">
        <v>3</v>
      </c>
      <c r="F322" s="105"/>
      <c r="G322" s="138"/>
      <c r="H322" s="93"/>
      <c r="I322" s="93"/>
      <c r="J322" s="93"/>
      <c r="K322" s="93"/>
      <c r="L322" s="92"/>
      <c r="M322" s="132"/>
      <c r="N322" s="50"/>
      <c r="O322" s="50"/>
      <c r="P322" s="50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</row>
    <row r="323" spans="4:37" ht="12.75" customHeight="1">
      <c r="D323" s="130"/>
      <c r="E323" s="125" t="s">
        <v>4</v>
      </c>
      <c r="F323" s="105"/>
      <c r="G323" s="125"/>
      <c r="H323" s="93"/>
      <c r="I323" s="93"/>
      <c r="J323" s="93"/>
      <c r="K323" s="93"/>
      <c r="L323" s="92"/>
      <c r="M323" s="132"/>
      <c r="N323" s="50"/>
      <c r="O323" s="50"/>
      <c r="P323" s="50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</row>
    <row r="324" spans="4:37" ht="12.75" customHeight="1">
      <c r="D324" s="142"/>
      <c r="E324" s="143" t="s">
        <v>311</v>
      </c>
      <c r="F324" s="105"/>
      <c r="G324" s="125"/>
      <c r="H324" s="144"/>
      <c r="I324" s="144"/>
      <c r="J324" s="144"/>
      <c r="K324" s="131"/>
      <c r="L324" s="131"/>
      <c r="M324" s="132"/>
      <c r="N324" s="50"/>
      <c r="O324" s="50"/>
      <c r="P324" s="50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</row>
    <row r="325" spans="4:37" ht="12.75" customHeight="1">
      <c r="D325" s="130"/>
      <c r="E325" s="143" t="s">
        <v>312</v>
      </c>
      <c r="F325" s="105"/>
      <c r="G325" s="125"/>
      <c r="H325" s="144"/>
      <c r="I325" s="144"/>
      <c r="J325" s="144"/>
      <c r="K325" s="144"/>
      <c r="L325" s="131"/>
      <c r="M325" s="132"/>
      <c r="N325" s="101"/>
      <c r="O325" s="101"/>
      <c r="P325" s="101"/>
      <c r="Q325" s="102"/>
      <c r="R325" s="102"/>
    </row>
    <row r="326" spans="4:37" ht="12.75" customHeight="1">
      <c r="D326" s="130"/>
      <c r="E326" s="143" t="s">
        <v>313</v>
      </c>
      <c r="F326" s="105"/>
      <c r="G326" s="125"/>
      <c r="H326" s="144"/>
      <c r="I326" s="144"/>
      <c r="J326" s="144"/>
      <c r="K326" s="144"/>
      <c r="L326" s="131"/>
      <c r="M326" s="132"/>
      <c r="N326" s="101"/>
      <c r="O326" s="101"/>
      <c r="P326" s="101"/>
      <c r="Q326" s="102"/>
      <c r="R326" s="102"/>
    </row>
    <row r="327" spans="4:37" ht="12.75" customHeight="1">
      <c r="D327" s="130"/>
      <c r="E327" s="143" t="s">
        <v>314</v>
      </c>
      <c r="F327" s="105"/>
      <c r="G327" s="125"/>
      <c r="H327" s="144"/>
      <c r="I327" s="144"/>
      <c r="J327" s="144"/>
      <c r="K327" s="144"/>
      <c r="L327" s="131"/>
      <c r="M327" s="132"/>
      <c r="N327" s="101"/>
      <c r="O327" s="101"/>
      <c r="P327" s="101"/>
      <c r="Q327" s="102"/>
      <c r="R327" s="102"/>
    </row>
    <row r="328" spans="4:37" ht="12.75" customHeight="1">
      <c r="D328" s="130"/>
      <c r="E328" s="143" t="s">
        <v>315</v>
      </c>
      <c r="F328" s="105"/>
      <c r="G328" s="125"/>
      <c r="H328" s="144"/>
      <c r="I328" s="144"/>
      <c r="J328" s="144"/>
      <c r="K328" s="144"/>
      <c r="L328" s="131"/>
      <c r="M328" s="132"/>
      <c r="N328" s="101"/>
      <c r="O328" s="101"/>
      <c r="P328" s="101"/>
      <c r="Q328" s="102"/>
      <c r="R328" s="102"/>
    </row>
    <row r="329" spans="4:37" ht="12.75" customHeight="1">
      <c r="D329" s="130"/>
      <c r="E329" s="143" t="s">
        <v>316</v>
      </c>
      <c r="F329" s="105"/>
      <c r="G329" s="125"/>
      <c r="H329" s="144"/>
      <c r="I329" s="144"/>
      <c r="J329" s="144"/>
      <c r="K329" s="144"/>
      <c r="L329" s="131"/>
      <c r="M329" s="132"/>
      <c r="N329" s="101"/>
      <c r="O329" s="101"/>
      <c r="P329" s="101"/>
      <c r="Q329" s="102"/>
      <c r="R329" s="102"/>
    </row>
    <row r="330" spans="4:37" ht="15">
      <c r="D330" s="130"/>
      <c r="E330" s="144"/>
      <c r="F330" s="105"/>
      <c r="G330" s="105"/>
      <c r="H330" s="144"/>
      <c r="I330" s="144"/>
      <c r="J330" s="144"/>
      <c r="K330" s="144"/>
      <c r="L330" s="131"/>
      <c r="M330" s="132"/>
      <c r="N330" s="101"/>
      <c r="O330" s="101"/>
      <c r="P330" s="101"/>
      <c r="Q330" s="102"/>
      <c r="R330" s="102"/>
    </row>
    <row r="331" spans="4:37" ht="15">
      <c r="D331" s="130"/>
      <c r="E331" s="144"/>
      <c r="F331" s="105"/>
      <c r="G331" s="105"/>
      <c r="H331" s="144"/>
      <c r="I331" s="144"/>
      <c r="J331" s="144"/>
      <c r="K331" s="144"/>
      <c r="L331" s="131"/>
      <c r="M331" s="132"/>
      <c r="N331" s="101"/>
      <c r="O331" s="101"/>
      <c r="P331" s="101"/>
      <c r="Q331" s="102"/>
      <c r="R331" s="102"/>
    </row>
    <row r="332" spans="4:37" ht="15">
      <c r="D332" s="135"/>
      <c r="E332" s="148"/>
      <c r="F332" s="147"/>
      <c r="G332" s="147"/>
      <c r="H332" s="148"/>
      <c r="I332" s="148"/>
      <c r="J332" s="148"/>
      <c r="K332" s="148"/>
      <c r="L332" s="154"/>
      <c r="M332" s="136"/>
      <c r="N332" s="101"/>
      <c r="O332" s="101"/>
      <c r="P332" s="101"/>
      <c r="Q332" s="102"/>
      <c r="R332" s="102"/>
    </row>
    <row r="333" spans="4:37" ht="15">
      <c r="D333" s="128"/>
      <c r="E333" s="49"/>
      <c r="H333" s="49"/>
      <c r="I333" s="49"/>
      <c r="J333" s="49"/>
      <c r="K333" s="49"/>
      <c r="L333" s="50"/>
      <c r="M333" s="129"/>
      <c r="N333" s="101"/>
      <c r="O333" s="101"/>
      <c r="P333" s="101"/>
      <c r="Q333" s="102"/>
      <c r="R333" s="102"/>
    </row>
    <row r="334" spans="4:37" ht="15">
      <c r="D334" s="128"/>
      <c r="E334" s="49"/>
      <c r="H334" s="49"/>
      <c r="I334" s="49"/>
      <c r="J334" s="49"/>
      <c r="K334" s="49"/>
      <c r="L334" s="50"/>
      <c r="M334" s="129"/>
      <c r="N334" s="50"/>
      <c r="O334" s="50"/>
      <c r="P334" s="50"/>
    </row>
    <row r="335" spans="4:37" ht="15">
      <c r="D335" s="509"/>
      <c r="E335" s="149"/>
      <c r="F335" s="149"/>
      <c r="G335" s="149"/>
      <c r="H335" s="149"/>
      <c r="I335" s="149"/>
      <c r="J335" s="149"/>
      <c r="K335" s="149"/>
      <c r="L335" s="325"/>
      <c r="M335" s="150"/>
      <c r="N335" s="50"/>
      <c r="O335" s="50"/>
      <c r="P335" s="50"/>
    </row>
    <row r="336" spans="4:37"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</row>
    <row r="337" spans="4:16"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</row>
    <row r="338" spans="4:16"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</row>
    <row r="339" spans="4:16"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</row>
    <row r="340" spans="4:16"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</row>
    <row r="341" spans="4:16"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</row>
    <row r="342" spans="4:16"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</row>
    <row r="343" spans="4:16"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</row>
    <row r="344" spans="4:16"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</row>
    <row r="345" spans="4:16"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</row>
    <row r="346" spans="4:16"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</row>
    <row r="347" spans="4:16"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</row>
    <row r="348" spans="4:16"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</row>
    <row r="349" spans="4:16"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</row>
    <row r="350" spans="4:16"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</row>
    <row r="351" spans="4:16"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</row>
    <row r="352" spans="4:16"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</row>
    <row r="353" spans="4:37"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</row>
    <row r="354" spans="4:37"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</row>
    <row r="355" spans="4:37"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</row>
    <row r="356" spans="4:37" ht="12.75" customHeight="1" thickBot="1"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</row>
    <row r="357" spans="4:37" ht="21.9" customHeight="1" thickBot="1">
      <c r="D357" s="747" t="s">
        <v>341</v>
      </c>
      <c r="E357" s="748"/>
      <c r="F357" s="748"/>
      <c r="G357" s="748"/>
      <c r="H357" s="748"/>
      <c r="I357" s="748"/>
      <c r="J357" s="748"/>
      <c r="K357" s="748"/>
      <c r="L357" s="748"/>
      <c r="M357" s="749"/>
      <c r="N357" s="118"/>
      <c r="O357" s="118"/>
      <c r="P357" s="118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</row>
    <row r="358" spans="4:37" ht="8.1" customHeight="1">
      <c r="D358" s="133"/>
      <c r="E358" s="125"/>
      <c r="F358" s="125"/>
      <c r="G358" s="125"/>
      <c r="H358" s="125"/>
      <c r="I358" s="125"/>
      <c r="J358" s="125"/>
      <c r="K358" s="125"/>
      <c r="L358" s="125"/>
      <c r="M358" s="134"/>
      <c r="N358" s="152"/>
      <c r="O358" s="152"/>
      <c r="P358" s="152"/>
    </row>
    <row r="359" spans="4:37" ht="20.100000000000001" customHeight="1">
      <c r="D359" s="133"/>
      <c r="E359" s="342" t="s">
        <v>50</v>
      </c>
      <c r="F359" s="339"/>
      <c r="G359" s="343"/>
      <c r="H359" s="343"/>
      <c r="I359" s="343"/>
      <c r="J359" s="343"/>
      <c r="K359" s="343"/>
      <c r="L359" s="343"/>
      <c r="M359" s="155"/>
      <c r="N359" s="118"/>
      <c r="O359" s="118"/>
      <c r="P359" s="118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</row>
    <row r="360" spans="4:37" ht="12.75" customHeight="1">
      <c r="D360" s="133"/>
      <c r="E360" s="110"/>
      <c r="F360" s="341"/>
      <c r="G360" s="110"/>
      <c r="H360" s="110"/>
      <c r="I360" s="110"/>
      <c r="J360" s="110"/>
      <c r="K360" s="110"/>
      <c r="L360" s="110"/>
      <c r="M360" s="155"/>
      <c r="N360" s="118"/>
      <c r="O360" s="118"/>
      <c r="P360" s="118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</row>
    <row r="361" spans="4:37" ht="18" customHeight="1">
      <c r="D361" s="261"/>
      <c r="E361" s="264"/>
      <c r="F361" s="590" t="s">
        <v>499</v>
      </c>
      <c r="G361" s="265"/>
      <c r="H361" s="266" t="s">
        <v>73</v>
      </c>
      <c r="I361" s="267"/>
      <c r="J361" s="267"/>
      <c r="K361" s="267"/>
      <c r="L361" s="268"/>
      <c r="M361" s="262"/>
      <c r="N361" s="157"/>
      <c r="O361" s="157"/>
      <c r="P361" s="152"/>
      <c r="Q361" s="74"/>
      <c r="R361" s="74"/>
      <c r="S361" s="74"/>
      <c r="T361" s="74"/>
      <c r="U361" s="74"/>
      <c r="V361" s="74"/>
      <c r="W361" s="74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  <c r="AI361" s="74"/>
      <c r="AJ361" s="74"/>
      <c r="AK361" s="74"/>
    </row>
    <row r="362" spans="4:37" ht="15.75" customHeight="1">
      <c r="D362" s="159"/>
      <c r="E362" s="123" t="s">
        <v>207</v>
      </c>
      <c r="F362" s="105"/>
      <c r="G362" s="125"/>
      <c r="H362" s="125"/>
      <c r="I362" s="125"/>
      <c r="J362" s="125"/>
      <c r="K362" s="125"/>
      <c r="L362" s="125"/>
      <c r="M362" s="134"/>
      <c r="N362" s="152"/>
      <c r="O362" s="152"/>
      <c r="P362" s="152"/>
    </row>
    <row r="363" spans="4:37" ht="21" customHeight="1">
      <c r="D363" s="159"/>
      <c r="E363" s="581" t="s">
        <v>208</v>
      </c>
      <c r="F363" s="105"/>
      <c r="G363" s="125"/>
      <c r="H363" s="125"/>
      <c r="I363" s="125"/>
      <c r="J363" s="125"/>
      <c r="K363" s="125"/>
      <c r="L363" s="125"/>
      <c r="M363" s="134"/>
      <c r="N363" s="152"/>
      <c r="O363" s="152"/>
      <c r="P363" s="152"/>
    </row>
    <row r="364" spans="4:37" ht="15">
      <c r="D364" s="159"/>
      <c r="E364" s="580" t="s">
        <v>481</v>
      </c>
      <c r="F364" s="105"/>
      <c r="G364" s="125"/>
      <c r="H364" s="125"/>
      <c r="I364" s="125"/>
      <c r="J364" s="125"/>
      <c r="K364" s="125"/>
      <c r="L364" s="125"/>
      <c r="M364" s="134"/>
      <c r="N364" s="152"/>
      <c r="O364" s="152"/>
      <c r="P364" s="152"/>
    </row>
    <row r="365" spans="4:37" ht="15">
      <c r="D365" s="159"/>
      <c r="E365" s="580" t="s">
        <v>482</v>
      </c>
      <c r="F365" s="105"/>
      <c r="G365" s="125"/>
      <c r="H365" s="125"/>
      <c r="I365" s="125"/>
      <c r="J365" s="125"/>
      <c r="K365" s="125"/>
      <c r="L365" s="125"/>
      <c r="M365" s="134"/>
      <c r="N365" s="152"/>
      <c r="O365" s="152"/>
      <c r="P365" s="152"/>
    </row>
    <row r="366" spans="4:37" ht="15">
      <c r="D366" s="159"/>
      <c r="E366" s="124" t="s">
        <v>483</v>
      </c>
      <c r="F366" s="105"/>
      <c r="G366" s="125"/>
      <c r="H366" s="125"/>
      <c r="I366" s="125"/>
      <c r="J366" s="125"/>
      <c r="K366" s="125"/>
      <c r="L366" s="125"/>
      <c r="M366" s="134"/>
      <c r="N366" s="152"/>
      <c r="O366" s="152"/>
      <c r="P366" s="152"/>
    </row>
    <row r="367" spans="4:37" ht="15">
      <c r="D367" s="159"/>
      <c r="E367" s="124" t="s">
        <v>484</v>
      </c>
      <c r="F367" s="105"/>
      <c r="G367" s="125"/>
      <c r="H367" s="125"/>
      <c r="I367" s="125"/>
      <c r="J367" s="125"/>
      <c r="K367" s="125"/>
      <c r="L367" s="125"/>
      <c r="M367" s="134"/>
      <c r="N367" s="152"/>
      <c r="O367" s="152"/>
      <c r="P367" s="152"/>
    </row>
    <row r="368" spans="4:37" ht="15">
      <c r="D368" s="159"/>
      <c r="E368" s="124" t="s">
        <v>485</v>
      </c>
      <c r="F368" s="105"/>
      <c r="G368" s="125"/>
      <c r="H368" s="125"/>
      <c r="I368" s="125"/>
      <c r="J368" s="125"/>
      <c r="K368" s="125"/>
      <c r="L368" s="125"/>
      <c r="M368" s="134"/>
      <c r="N368" s="152"/>
      <c r="O368" s="152"/>
      <c r="P368" s="152"/>
    </row>
    <row r="369" spans="4:37" ht="24" customHeight="1">
      <c r="D369" s="159"/>
      <c r="E369" s="161" t="s">
        <v>330</v>
      </c>
      <c r="F369" s="105"/>
      <c r="G369" s="125"/>
      <c r="H369" s="125"/>
      <c r="I369" s="125"/>
      <c r="J369" s="125"/>
      <c r="K369" s="125"/>
      <c r="L369" s="125"/>
      <c r="M369" s="134"/>
      <c r="N369" s="152"/>
      <c r="O369" s="152"/>
      <c r="P369" s="152"/>
    </row>
    <row r="370" spans="4:37" ht="15">
      <c r="D370" s="159"/>
      <c r="E370" s="591" t="s">
        <v>209</v>
      </c>
      <c r="F370" s="105"/>
      <c r="G370" s="125"/>
      <c r="H370" s="125"/>
      <c r="I370" s="125"/>
      <c r="J370" s="125"/>
      <c r="K370" s="125"/>
      <c r="L370" s="125"/>
      <c r="M370" s="134"/>
      <c r="N370" s="152"/>
      <c r="O370" s="152"/>
      <c r="P370" s="152"/>
    </row>
    <row r="371" spans="4:37" ht="15">
      <c r="D371" s="159"/>
      <c r="E371" s="587" t="s">
        <v>486</v>
      </c>
      <c r="F371" s="105"/>
      <c r="G371" s="125"/>
      <c r="H371" s="125"/>
      <c r="I371" s="125"/>
      <c r="J371" s="125"/>
      <c r="K371" s="125"/>
      <c r="L371" s="125"/>
      <c r="M371" s="134"/>
      <c r="N371" s="152"/>
      <c r="O371" s="152"/>
      <c r="P371" s="152"/>
    </row>
    <row r="372" spans="4:37" ht="15">
      <c r="D372" s="159"/>
      <c r="E372" s="591" t="s">
        <v>487</v>
      </c>
      <c r="F372" s="105"/>
      <c r="G372" s="125"/>
      <c r="H372" s="125"/>
      <c r="I372" s="125"/>
      <c r="J372" s="125"/>
      <c r="K372" s="125"/>
      <c r="L372" s="125"/>
      <c r="M372" s="134"/>
      <c r="N372" s="152"/>
      <c r="O372" s="152"/>
      <c r="P372" s="152"/>
    </row>
    <row r="373" spans="4:37" ht="17.25" customHeight="1">
      <c r="D373" s="159"/>
      <c r="E373" s="125"/>
      <c r="F373" s="125"/>
      <c r="G373" s="125"/>
      <c r="H373" s="125"/>
      <c r="I373" s="125"/>
      <c r="J373" s="125"/>
      <c r="K373" s="125"/>
      <c r="L373" s="125"/>
      <c r="M373" s="134"/>
      <c r="N373" s="152"/>
      <c r="O373" s="152"/>
      <c r="P373" s="152"/>
    </row>
    <row r="374" spans="4:37" ht="18" customHeight="1">
      <c r="D374" s="261"/>
      <c r="E374" s="264"/>
      <c r="F374" s="590" t="s">
        <v>500</v>
      </c>
      <c r="G374" s="265"/>
      <c r="H374" s="265"/>
      <c r="I374" s="266" t="s">
        <v>72</v>
      </c>
      <c r="J374" s="267"/>
      <c r="K374" s="267"/>
      <c r="L374" s="327"/>
      <c r="M374" s="263"/>
      <c r="N374" s="153"/>
      <c r="O374" s="153"/>
      <c r="P374" s="153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</row>
    <row r="375" spans="4:37" ht="5.25" customHeight="1">
      <c r="D375" s="164"/>
      <c r="E375" s="125"/>
      <c r="F375" s="125"/>
      <c r="G375" s="125"/>
      <c r="H375" s="125"/>
      <c r="I375" s="125"/>
      <c r="J375" s="125"/>
      <c r="K375" s="125"/>
      <c r="L375" s="125"/>
      <c r="M375" s="134"/>
      <c r="N375" s="152"/>
      <c r="O375" s="152"/>
      <c r="P375" s="152"/>
    </row>
    <row r="376" spans="4:37" ht="15">
      <c r="D376" s="164"/>
      <c r="E376" s="581" t="s">
        <v>208</v>
      </c>
      <c r="F376" s="105"/>
      <c r="G376" s="125"/>
      <c r="H376" s="125"/>
      <c r="I376" s="125"/>
      <c r="J376" s="125"/>
      <c r="K376" s="125"/>
      <c r="L376" s="125"/>
      <c r="M376" s="134"/>
      <c r="N376" s="152"/>
      <c r="O376" s="152"/>
      <c r="P376" s="152"/>
    </row>
    <row r="377" spans="4:37" ht="15">
      <c r="D377" s="164"/>
      <c r="E377" s="124" t="s">
        <v>331</v>
      </c>
      <c r="F377" s="105"/>
      <c r="G377" s="125"/>
      <c r="H377" s="125"/>
      <c r="I377" s="125"/>
      <c r="J377" s="125"/>
      <c r="K377" s="125"/>
      <c r="L377" s="125"/>
      <c r="M377" s="134"/>
      <c r="N377" s="152"/>
      <c r="O377" s="152"/>
      <c r="P377" s="152"/>
    </row>
    <row r="378" spans="4:37" ht="15">
      <c r="D378" s="164"/>
      <c r="E378" s="124" t="s">
        <v>332</v>
      </c>
      <c r="F378" s="105"/>
      <c r="G378" s="125"/>
      <c r="H378" s="125"/>
      <c r="I378" s="125"/>
      <c r="J378" s="125"/>
      <c r="K378" s="125"/>
      <c r="L378" s="125"/>
      <c r="M378" s="134"/>
      <c r="N378" s="152"/>
      <c r="O378" s="152"/>
      <c r="P378" s="152"/>
    </row>
    <row r="379" spans="4:37" ht="21.75" customHeight="1">
      <c r="D379" s="164"/>
      <c r="E379" s="589" t="s">
        <v>501</v>
      </c>
      <c r="F379" s="105"/>
      <c r="G379" s="125"/>
      <c r="H379" s="125"/>
      <c r="I379" s="125"/>
      <c r="J379" s="125"/>
      <c r="K379" s="125"/>
      <c r="L379" s="125"/>
      <c r="M379" s="134"/>
      <c r="N379" s="152"/>
      <c r="O379" s="152"/>
      <c r="P379" s="152"/>
    </row>
    <row r="380" spans="4:37" ht="15">
      <c r="D380" s="164"/>
      <c r="E380" s="591" t="s">
        <v>333</v>
      </c>
      <c r="F380" s="105"/>
      <c r="G380" s="125"/>
      <c r="H380" s="125"/>
      <c r="I380" s="125"/>
      <c r="J380" s="125"/>
      <c r="K380" s="125"/>
      <c r="L380" s="125"/>
      <c r="M380" s="134"/>
      <c r="N380" s="152"/>
      <c r="O380" s="152"/>
      <c r="P380" s="152"/>
    </row>
    <row r="381" spans="4:37" ht="15">
      <c r="D381" s="164"/>
      <c r="E381" s="591" t="s">
        <v>334</v>
      </c>
      <c r="F381" s="105"/>
      <c r="G381" s="125"/>
      <c r="H381" s="125"/>
      <c r="I381" s="125"/>
      <c r="J381" s="125"/>
      <c r="K381" s="125"/>
      <c r="L381" s="125"/>
      <c r="M381" s="134"/>
      <c r="N381" s="152"/>
      <c r="O381" s="152"/>
      <c r="P381" s="152"/>
    </row>
    <row r="382" spans="4:37" ht="15">
      <c r="D382" s="164"/>
      <c r="E382" s="591" t="s">
        <v>242</v>
      </c>
      <c r="F382" s="105"/>
      <c r="G382" s="125"/>
      <c r="H382" s="125"/>
      <c r="I382" s="125"/>
      <c r="J382" s="125"/>
      <c r="K382" s="125"/>
      <c r="L382" s="125"/>
      <c r="M382" s="134"/>
      <c r="N382" s="152"/>
      <c r="O382" s="152"/>
      <c r="P382" s="152"/>
    </row>
    <row r="383" spans="4:37" ht="17.25" customHeight="1">
      <c r="D383" s="164"/>
      <c r="E383" s="163"/>
      <c r="F383" s="163"/>
      <c r="G383" s="163"/>
      <c r="H383" s="163"/>
      <c r="I383" s="163"/>
      <c r="J383" s="163"/>
      <c r="K383" s="163"/>
      <c r="L383" s="125"/>
      <c r="M383" s="134"/>
      <c r="N383" s="152"/>
      <c r="O383" s="152"/>
      <c r="P383" s="152"/>
    </row>
    <row r="384" spans="4:37" ht="18" customHeight="1">
      <c r="D384" s="269"/>
      <c r="E384" s="264"/>
      <c r="F384" s="590" t="s">
        <v>502</v>
      </c>
      <c r="G384" s="265"/>
      <c r="H384" s="265"/>
      <c r="I384" s="266" t="s">
        <v>71</v>
      </c>
      <c r="J384" s="267"/>
      <c r="K384" s="267"/>
      <c r="L384" s="327"/>
      <c r="M384" s="263"/>
      <c r="N384" s="153"/>
      <c r="O384" s="153"/>
      <c r="P384" s="153"/>
      <c r="Q384" s="74"/>
      <c r="R384" s="74"/>
      <c r="S384" s="74"/>
      <c r="T384" s="74"/>
      <c r="U384" s="74"/>
      <c r="V384" s="74"/>
      <c r="W384" s="74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  <c r="AI384" s="74"/>
      <c r="AJ384" s="74"/>
      <c r="AK384" s="74"/>
    </row>
    <row r="385" spans="4:16" ht="6.75" customHeight="1">
      <c r="D385" s="159"/>
      <c r="E385" s="160"/>
      <c r="F385" s="125"/>
      <c r="G385" s="125"/>
      <c r="H385" s="125"/>
      <c r="I385" s="125"/>
      <c r="J385" s="125"/>
      <c r="K385" s="125"/>
      <c r="L385" s="125"/>
      <c r="M385" s="134"/>
      <c r="N385" s="152"/>
      <c r="O385" s="152"/>
      <c r="P385" s="152"/>
    </row>
    <row r="386" spans="4:16" ht="15">
      <c r="D386" s="159"/>
      <c r="E386" s="581" t="s">
        <v>208</v>
      </c>
      <c r="F386" s="105"/>
      <c r="G386" s="125"/>
      <c r="H386" s="125"/>
      <c r="I386" s="125"/>
      <c r="J386" s="125"/>
      <c r="K386" s="125"/>
      <c r="L386" s="125"/>
      <c r="M386" s="134"/>
      <c r="N386" s="152"/>
      <c r="O386" s="152"/>
      <c r="P386" s="152"/>
    </row>
    <row r="387" spans="4:16" ht="15">
      <c r="D387" s="159"/>
      <c r="E387" s="124" t="s">
        <v>335</v>
      </c>
      <c r="F387" s="105"/>
      <c r="G387" s="125"/>
      <c r="H387" s="125"/>
      <c r="I387" s="125"/>
      <c r="J387" s="125"/>
      <c r="K387" s="125"/>
      <c r="L387" s="125"/>
      <c r="M387" s="134"/>
      <c r="N387" s="152"/>
      <c r="O387" s="152"/>
      <c r="P387" s="152"/>
    </row>
    <row r="388" spans="4:16" ht="15">
      <c r="D388" s="159"/>
      <c r="E388" s="124" t="s">
        <v>336</v>
      </c>
      <c r="F388" s="105"/>
      <c r="G388" s="125"/>
      <c r="H388" s="125"/>
      <c r="I388" s="125"/>
      <c r="J388" s="125"/>
      <c r="K388" s="125"/>
      <c r="L388" s="125"/>
      <c r="M388" s="134"/>
      <c r="N388" s="152"/>
      <c r="O388" s="152"/>
      <c r="P388" s="152"/>
    </row>
    <row r="389" spans="4:16" ht="15">
      <c r="D389" s="159"/>
      <c r="E389" s="580" t="s">
        <v>337</v>
      </c>
      <c r="F389" s="105"/>
      <c r="G389" s="125"/>
      <c r="H389" s="125"/>
      <c r="I389" s="125"/>
      <c r="J389" s="125"/>
      <c r="K389" s="125"/>
      <c r="L389" s="125"/>
      <c r="M389" s="134"/>
      <c r="N389" s="152"/>
      <c r="O389" s="151"/>
      <c r="P389" s="151"/>
    </row>
    <row r="390" spans="4:16" ht="15">
      <c r="D390" s="159"/>
      <c r="E390" s="580" t="s">
        <v>338</v>
      </c>
      <c r="F390" s="105"/>
      <c r="G390" s="125"/>
      <c r="H390" s="125"/>
      <c r="I390" s="125"/>
      <c r="J390" s="125"/>
      <c r="K390" s="125"/>
      <c r="L390" s="125"/>
      <c r="M390" s="134"/>
      <c r="N390" s="152"/>
      <c r="O390" s="151"/>
      <c r="P390" s="151"/>
    </row>
    <row r="391" spans="4:16" ht="18" customHeight="1">
      <c r="D391" s="159"/>
      <c r="E391" s="589" t="s">
        <v>503</v>
      </c>
      <c r="F391" s="105"/>
      <c r="G391" s="125"/>
      <c r="H391" s="125"/>
      <c r="I391" s="125"/>
      <c r="J391" s="125"/>
      <c r="K391" s="125"/>
      <c r="L391" s="125"/>
      <c r="M391" s="134"/>
      <c r="N391" s="152"/>
      <c r="O391" s="151"/>
      <c r="P391" s="151"/>
    </row>
    <row r="392" spans="4:16" ht="15">
      <c r="D392" s="159"/>
      <c r="E392" s="591" t="s">
        <v>340</v>
      </c>
      <c r="F392" s="105"/>
      <c r="G392" s="125"/>
      <c r="H392" s="125"/>
      <c r="I392" s="125"/>
      <c r="J392" s="125"/>
      <c r="K392" s="125"/>
      <c r="L392" s="125"/>
      <c r="M392" s="134"/>
      <c r="N392" s="152"/>
      <c r="O392" s="151"/>
      <c r="P392" s="151"/>
    </row>
    <row r="393" spans="4:16" ht="15">
      <c r="D393" s="159"/>
      <c r="E393" s="591" t="s">
        <v>339</v>
      </c>
      <c r="F393" s="105"/>
      <c r="G393" s="125"/>
      <c r="H393" s="125"/>
      <c r="I393" s="125"/>
      <c r="J393" s="125"/>
      <c r="K393" s="125"/>
      <c r="L393" s="125"/>
      <c r="M393" s="134"/>
      <c r="N393" s="152"/>
      <c r="O393" s="151"/>
      <c r="P393" s="151"/>
    </row>
    <row r="394" spans="4:16" ht="17.25" customHeight="1">
      <c r="D394" s="162"/>
      <c r="E394" s="163"/>
      <c r="F394" s="163"/>
      <c r="G394" s="163"/>
      <c r="H394" s="163"/>
      <c r="I394" s="163"/>
      <c r="J394" s="163"/>
      <c r="K394" s="163"/>
      <c r="L394" s="163"/>
      <c r="M394" s="326"/>
      <c r="N394" s="152"/>
      <c r="O394" s="151"/>
      <c r="P394" s="151"/>
    </row>
    <row r="395" spans="4:16" ht="12.75" customHeight="1"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</row>
    <row r="396" spans="4:16" ht="12.75" customHeight="1"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</row>
    <row r="397" spans="4:16" ht="12.75" customHeight="1"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</row>
    <row r="398" spans="4:16" ht="12.75" customHeight="1"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</row>
    <row r="399" spans="4:16" ht="12.75" customHeight="1"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</row>
    <row r="400" spans="4:16" ht="12.75" customHeight="1"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</row>
    <row r="401" spans="4:16" ht="12.75" customHeight="1"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</row>
    <row r="402" spans="4:16" ht="12.75" customHeight="1"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</row>
    <row r="403" spans="4:16" ht="12.75" customHeight="1"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</row>
    <row r="404" spans="4:16" ht="12.75" customHeight="1"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</row>
    <row r="405" spans="4:16" ht="12.75" customHeight="1"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</row>
    <row r="406" spans="4:16" ht="12.75" customHeight="1"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</row>
    <row r="407" spans="4:16" ht="12.75" customHeight="1"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</row>
    <row r="408" spans="4:16" ht="12.75" customHeight="1"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</row>
    <row r="409" spans="4:16" ht="12.75" customHeight="1" thickBot="1"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</row>
    <row r="410" spans="4:16" ht="21.9" customHeight="1" thickBot="1">
      <c r="D410" s="747" t="s">
        <v>341</v>
      </c>
      <c r="E410" s="748"/>
      <c r="F410" s="748"/>
      <c r="G410" s="748"/>
      <c r="H410" s="748"/>
      <c r="I410" s="748"/>
      <c r="J410" s="748"/>
      <c r="K410" s="748"/>
      <c r="L410" s="748"/>
      <c r="M410" s="749"/>
      <c r="N410" s="50"/>
      <c r="O410" s="50"/>
      <c r="P410" s="50"/>
    </row>
    <row r="411" spans="4:16" ht="8.1" customHeight="1">
      <c r="D411" s="133"/>
      <c r="E411" s="125"/>
      <c r="F411" s="125"/>
      <c r="G411" s="125"/>
      <c r="H411" s="125"/>
      <c r="I411" s="125"/>
      <c r="J411" s="125"/>
      <c r="K411" s="125"/>
      <c r="L411" s="125"/>
      <c r="M411" s="132"/>
      <c r="N411" s="50"/>
      <c r="O411" s="50"/>
      <c r="P411" s="50"/>
    </row>
    <row r="412" spans="4:16" ht="20.100000000000001" customHeight="1">
      <c r="D412" s="133"/>
      <c r="E412" s="342" t="s">
        <v>217</v>
      </c>
      <c r="F412" s="339"/>
      <c r="G412" s="334"/>
      <c r="H412" s="334"/>
      <c r="I412" s="334"/>
      <c r="J412" s="334"/>
      <c r="K412" s="334"/>
      <c r="L412" s="334"/>
      <c r="M412" s="132"/>
      <c r="N412" s="50"/>
      <c r="O412" s="50"/>
      <c r="P412" s="50"/>
    </row>
    <row r="413" spans="4:16" ht="5.0999999999999996" customHeight="1">
      <c r="D413" s="130"/>
      <c r="E413" s="131"/>
      <c r="F413" s="131"/>
      <c r="G413" s="131"/>
      <c r="H413" s="131"/>
      <c r="I413" s="131"/>
      <c r="J413" s="131"/>
      <c r="K413" s="131"/>
      <c r="L413" s="131"/>
      <c r="M413" s="132"/>
      <c r="N413" s="50"/>
      <c r="O413" s="50"/>
      <c r="P413" s="50"/>
    </row>
    <row r="414" spans="4:16" ht="12.75" customHeight="1">
      <c r="D414" s="130"/>
      <c r="E414" s="593" t="s">
        <v>436</v>
      </c>
      <c r="F414" s="125"/>
      <c r="G414" s="131"/>
      <c r="H414" s="131"/>
      <c r="I414" s="131"/>
      <c r="J414" s="131"/>
      <c r="K414" s="131"/>
      <c r="L414" s="131"/>
      <c r="M414" s="132"/>
      <c r="N414" s="50"/>
      <c r="O414" s="50"/>
      <c r="P414" s="50"/>
    </row>
    <row r="415" spans="4:16" ht="12.75" customHeight="1">
      <c r="D415" s="130"/>
      <c r="E415" s="593" t="s">
        <v>437</v>
      </c>
      <c r="F415" s="125"/>
      <c r="G415" s="131"/>
      <c r="H415" s="131"/>
      <c r="I415" s="131"/>
      <c r="J415" s="131"/>
      <c r="K415" s="131"/>
      <c r="L415" s="131"/>
      <c r="M415" s="132"/>
      <c r="N415" s="50"/>
      <c r="O415" s="50"/>
      <c r="P415" s="50"/>
    </row>
    <row r="416" spans="4:16" ht="12.75" customHeight="1">
      <c r="D416" s="130"/>
      <c r="E416" s="593" t="s">
        <v>438</v>
      </c>
      <c r="F416" s="125"/>
      <c r="G416" s="131"/>
      <c r="H416" s="131"/>
      <c r="I416" s="131"/>
      <c r="J416" s="131"/>
      <c r="K416" s="131"/>
      <c r="L416" s="131"/>
      <c r="M416" s="132"/>
      <c r="N416" s="50"/>
      <c r="O416" s="50"/>
      <c r="P416" s="50"/>
    </row>
    <row r="417" spans="4:37" ht="12.75" customHeight="1">
      <c r="D417" s="130"/>
      <c r="E417" s="593" t="s">
        <v>439</v>
      </c>
      <c r="F417" s="125"/>
      <c r="G417" s="131"/>
      <c r="H417" s="131"/>
      <c r="I417" s="131"/>
      <c r="J417" s="131"/>
      <c r="K417" s="131"/>
      <c r="L417" s="131"/>
      <c r="M417" s="132"/>
      <c r="N417" s="50"/>
      <c r="O417" s="50"/>
      <c r="P417" s="50"/>
    </row>
    <row r="418" spans="4:37" ht="12.75" customHeight="1">
      <c r="D418" s="130"/>
      <c r="E418" s="593" t="s">
        <v>440</v>
      </c>
      <c r="F418" s="125"/>
      <c r="G418" s="131"/>
      <c r="H418" s="131"/>
      <c r="I418" s="131"/>
      <c r="J418" s="131"/>
      <c r="K418" s="131"/>
      <c r="L418" s="131"/>
      <c r="M418" s="132"/>
      <c r="N418" s="50"/>
      <c r="O418" s="50"/>
      <c r="P418" s="50"/>
    </row>
    <row r="419" spans="4:37">
      <c r="D419" s="130"/>
      <c r="E419" s="594" t="s">
        <v>441</v>
      </c>
      <c r="F419" s="131"/>
      <c r="G419" s="131"/>
      <c r="H419" s="131"/>
      <c r="I419" s="131"/>
      <c r="J419" s="131"/>
      <c r="K419" s="131"/>
      <c r="L419" s="131"/>
      <c r="M419" s="132"/>
      <c r="N419" s="50"/>
      <c r="O419" s="50"/>
      <c r="P419" s="50"/>
    </row>
    <row r="420" spans="4:37" ht="17.25" customHeight="1">
      <c r="D420" s="166"/>
      <c r="E420" s="167"/>
      <c r="F420" s="167"/>
      <c r="G420" s="167"/>
      <c r="H420" s="167"/>
      <c r="I420" s="167"/>
      <c r="J420" s="167"/>
      <c r="K420" s="167"/>
      <c r="L420" s="167"/>
      <c r="M420" s="168"/>
      <c r="N420" s="165"/>
      <c r="O420" s="165"/>
      <c r="P420" s="165"/>
    </row>
    <row r="421" spans="4:37" ht="18" customHeight="1">
      <c r="D421" s="269"/>
      <c r="E421" s="264"/>
      <c r="F421" s="785" t="s">
        <v>504</v>
      </c>
      <c r="G421" s="785"/>
      <c r="H421" s="785"/>
      <c r="I421" s="785"/>
      <c r="J421" s="270" t="s">
        <v>353</v>
      </c>
      <c r="K421" s="267"/>
      <c r="L421" s="331"/>
      <c r="M421" s="132"/>
      <c r="N421" s="50"/>
      <c r="O421" s="50"/>
      <c r="P421" s="50"/>
    </row>
    <row r="422" spans="4:37" ht="8.1" customHeight="1">
      <c r="D422" s="130"/>
      <c r="E422" s="107"/>
      <c r="F422" s="169"/>
      <c r="G422" s="107"/>
      <c r="H422" s="107"/>
      <c r="I422" s="107"/>
      <c r="J422" s="107"/>
      <c r="K422" s="107"/>
      <c r="L422" s="107"/>
      <c r="M422" s="114"/>
      <c r="N422" s="106"/>
      <c r="O422" s="106"/>
      <c r="P422" s="106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</row>
    <row r="423" spans="4:37" ht="21" customHeight="1">
      <c r="D423" s="130"/>
      <c r="E423" s="581" t="s">
        <v>208</v>
      </c>
      <c r="F423" s="125"/>
      <c r="G423" s="105"/>
      <c r="H423" s="144"/>
      <c r="I423" s="144"/>
      <c r="J423" s="144"/>
      <c r="K423" s="144"/>
      <c r="L423" s="131"/>
      <c r="M423" s="132"/>
      <c r="N423" s="47"/>
      <c r="O423" s="47"/>
      <c r="P423" s="47"/>
    </row>
    <row r="424" spans="4:37" ht="12.75" customHeight="1">
      <c r="D424" s="130"/>
      <c r="E424" s="124" t="s">
        <v>442</v>
      </c>
      <c r="F424" s="125"/>
      <c r="G424" s="105"/>
      <c r="H424" s="144"/>
      <c r="I424" s="144"/>
      <c r="J424" s="144"/>
      <c r="K424" s="144"/>
      <c r="L424" s="131"/>
      <c r="M424" s="132"/>
      <c r="N424" s="47"/>
      <c r="O424" s="47"/>
      <c r="P424" s="47"/>
    </row>
    <row r="425" spans="4:37" ht="12.75" customHeight="1">
      <c r="D425" s="130"/>
      <c r="E425" s="582" t="s">
        <v>443</v>
      </c>
      <c r="F425" s="125"/>
      <c r="G425" s="105"/>
      <c r="H425" s="144"/>
      <c r="I425" s="144"/>
      <c r="J425" s="144"/>
      <c r="K425" s="144"/>
      <c r="L425" s="131"/>
      <c r="M425" s="132"/>
      <c r="N425" s="47"/>
      <c r="O425" s="47"/>
      <c r="P425" s="47"/>
    </row>
    <row r="426" spans="4:37" ht="12.75" customHeight="1">
      <c r="D426" s="130"/>
      <c r="E426" s="124" t="s">
        <v>444</v>
      </c>
      <c r="F426" s="125"/>
      <c r="G426" s="105"/>
      <c r="H426" s="144"/>
      <c r="I426" s="144"/>
      <c r="J426" s="144"/>
      <c r="K426" s="144"/>
      <c r="L426" s="131"/>
      <c r="M426" s="132"/>
      <c r="N426" s="47"/>
      <c r="O426" s="47"/>
      <c r="P426" s="47"/>
    </row>
    <row r="427" spans="4:37" ht="12.75" customHeight="1">
      <c r="D427" s="173"/>
      <c r="E427" s="124" t="s">
        <v>445</v>
      </c>
      <c r="F427" s="144"/>
      <c r="G427" s="144"/>
      <c r="H427" s="144"/>
      <c r="I427" s="144"/>
      <c r="J427" s="144"/>
      <c r="K427" s="144"/>
      <c r="L427" s="131"/>
      <c r="M427" s="132"/>
      <c r="N427" s="47"/>
      <c r="O427" s="47"/>
      <c r="P427" s="47"/>
    </row>
    <row r="428" spans="4:37" ht="8.1" customHeight="1">
      <c r="D428" s="111"/>
      <c r="E428" s="105"/>
      <c r="F428" s="105"/>
      <c r="G428" s="105"/>
      <c r="H428" s="105"/>
      <c r="I428" s="105"/>
      <c r="J428" s="105"/>
      <c r="K428" s="105"/>
      <c r="L428" s="105"/>
      <c r="M428" s="178"/>
      <c r="N428" s="170"/>
      <c r="O428" s="170"/>
      <c r="P428" s="170"/>
      <c r="Q428" s="74"/>
      <c r="R428" s="74"/>
      <c r="S428" s="74"/>
      <c r="T428" s="74"/>
      <c r="U428" s="74"/>
      <c r="V428" s="74"/>
      <c r="W428" s="74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  <c r="AI428" s="74"/>
      <c r="AJ428" s="74"/>
      <c r="AK428" s="74"/>
    </row>
    <row r="429" spans="4:37" ht="8.1" customHeight="1">
      <c r="D429" s="130"/>
      <c r="E429" s="172"/>
      <c r="F429" s="144"/>
      <c r="G429" s="131"/>
      <c r="H429" s="131"/>
      <c r="I429" s="131"/>
      <c r="J429" s="131"/>
      <c r="K429" s="131"/>
      <c r="L429" s="131"/>
      <c r="M429" s="132"/>
      <c r="N429" s="50"/>
      <c r="O429" s="50"/>
      <c r="P429" s="50"/>
    </row>
    <row r="430" spans="4:37" ht="16.8">
      <c r="D430" s="130"/>
      <c r="E430" s="589" t="s">
        <v>505</v>
      </c>
      <c r="F430" s="105"/>
      <c r="G430" s="105"/>
      <c r="H430" s="131"/>
      <c r="I430" s="131"/>
      <c r="J430" s="131"/>
      <c r="K430" s="131"/>
      <c r="L430" s="131"/>
      <c r="M430" s="132"/>
      <c r="N430" s="50"/>
      <c r="O430" s="50"/>
      <c r="P430" s="50"/>
    </row>
    <row r="431" spans="4:37" ht="12.75" customHeight="1">
      <c r="D431" s="130"/>
      <c r="E431" s="591" t="s">
        <v>342</v>
      </c>
      <c r="F431" s="105"/>
      <c r="G431" s="105"/>
      <c r="H431" s="131"/>
      <c r="I431" s="131"/>
      <c r="J431" s="131"/>
      <c r="K431" s="131"/>
      <c r="L431" s="131"/>
      <c r="M431" s="132"/>
      <c r="N431" s="50"/>
      <c r="O431" s="50"/>
      <c r="P431" s="50"/>
    </row>
    <row r="432" spans="4:37" ht="12.75" customHeight="1">
      <c r="D432" s="130"/>
      <c r="E432" s="591" t="s">
        <v>343</v>
      </c>
      <c r="F432" s="105"/>
      <c r="G432" s="105"/>
      <c r="H432" s="131"/>
      <c r="I432" s="131"/>
      <c r="J432" s="131"/>
      <c r="K432" s="131"/>
      <c r="L432" s="131"/>
      <c r="M432" s="132"/>
      <c r="N432" s="50"/>
      <c r="O432" s="50"/>
      <c r="P432" s="50"/>
    </row>
    <row r="433" spans="4:16" ht="12.75" customHeight="1">
      <c r="D433" s="130"/>
      <c r="E433" s="591" t="s">
        <v>446</v>
      </c>
      <c r="F433" s="105"/>
      <c r="G433" s="105"/>
      <c r="H433" s="131"/>
      <c r="I433" s="131"/>
      <c r="J433" s="131"/>
      <c r="K433" s="131"/>
      <c r="L433" s="131"/>
      <c r="M433" s="132"/>
      <c r="N433" s="50"/>
      <c r="O433" s="50"/>
      <c r="P433" s="50"/>
    </row>
    <row r="434" spans="4:16" ht="12.75" customHeight="1">
      <c r="D434" s="130"/>
      <c r="E434" s="591" t="s">
        <v>447</v>
      </c>
      <c r="F434" s="105"/>
      <c r="G434" s="105"/>
      <c r="H434" s="131"/>
      <c r="I434" s="131"/>
      <c r="J434" s="131"/>
      <c r="K434" s="131"/>
      <c r="L434" s="131"/>
      <c r="M434" s="132"/>
      <c r="N434" s="50"/>
      <c r="O434" s="50"/>
      <c r="P434" s="50"/>
    </row>
    <row r="435" spans="4:16" ht="12.75" customHeight="1">
      <c r="D435" s="130"/>
      <c r="E435" s="591" t="s">
        <v>344</v>
      </c>
      <c r="F435" s="105"/>
      <c r="G435" s="125"/>
      <c r="H435" s="131"/>
      <c r="I435" s="131"/>
      <c r="J435" s="131"/>
      <c r="K435" s="131"/>
      <c r="L435" s="131"/>
      <c r="M435" s="132"/>
      <c r="N435" s="50"/>
      <c r="O435" s="50"/>
      <c r="P435" s="50"/>
    </row>
    <row r="436" spans="4:16" ht="17.25" customHeight="1">
      <c r="D436" s="130"/>
      <c r="E436" s="131"/>
      <c r="F436" s="105"/>
      <c r="G436" s="125"/>
      <c r="H436" s="131"/>
      <c r="I436" s="131"/>
      <c r="J436" s="131"/>
      <c r="K436" s="131"/>
      <c r="L436" s="131"/>
      <c r="M436" s="132"/>
      <c r="N436" s="50"/>
      <c r="O436" s="50"/>
      <c r="P436" s="50"/>
    </row>
    <row r="437" spans="4:16" ht="18" customHeight="1">
      <c r="D437" s="269"/>
      <c r="E437" s="264"/>
      <c r="F437" s="590" t="s">
        <v>506</v>
      </c>
      <c r="G437" s="265"/>
      <c r="H437" s="265"/>
      <c r="I437" s="267"/>
      <c r="J437" s="270" t="s">
        <v>76</v>
      </c>
      <c r="K437" s="267"/>
      <c r="L437" s="331"/>
      <c r="M437" s="132"/>
      <c r="N437" s="50"/>
      <c r="O437" s="50"/>
      <c r="P437" s="50"/>
    </row>
    <row r="438" spans="4:16" ht="8.1" customHeight="1">
      <c r="D438" s="130"/>
      <c r="E438" s="131"/>
      <c r="F438" s="105"/>
      <c r="G438" s="125"/>
      <c r="H438" s="131"/>
      <c r="I438" s="131"/>
      <c r="J438" s="131"/>
      <c r="K438" s="131"/>
      <c r="L438" s="131"/>
      <c r="M438" s="132"/>
      <c r="N438" s="50"/>
      <c r="O438" s="50"/>
      <c r="P438" s="50"/>
    </row>
    <row r="439" spans="4:16" ht="15" customHeight="1">
      <c r="D439" s="130"/>
      <c r="E439" s="124" t="s">
        <v>211</v>
      </c>
      <c r="F439" s="125"/>
      <c r="G439" s="125"/>
      <c r="H439" s="131"/>
      <c r="I439" s="131"/>
      <c r="J439" s="131"/>
      <c r="K439" s="131"/>
      <c r="L439" s="131"/>
      <c r="M439" s="132"/>
      <c r="N439" s="50"/>
      <c r="O439" s="50"/>
      <c r="P439" s="50"/>
    </row>
    <row r="440" spans="4:16" ht="15" customHeight="1">
      <c r="D440" s="130"/>
      <c r="E440" s="124" t="s">
        <v>210</v>
      </c>
      <c r="F440" s="125"/>
      <c r="G440" s="131"/>
      <c r="H440" s="131"/>
      <c r="I440" s="131"/>
      <c r="J440" s="131"/>
      <c r="K440" s="131"/>
      <c r="L440" s="131"/>
      <c r="M440" s="132"/>
      <c r="N440" s="50"/>
      <c r="O440" s="50"/>
      <c r="P440" s="50"/>
    </row>
    <row r="441" spans="4:16" ht="15" customHeight="1">
      <c r="D441" s="177"/>
      <c r="E441" s="124" t="s">
        <v>345</v>
      </c>
      <c r="F441" s="125"/>
      <c r="G441" s="131"/>
      <c r="H441" s="131"/>
      <c r="I441" s="131"/>
      <c r="J441" s="131"/>
      <c r="K441" s="131"/>
      <c r="L441" s="131"/>
      <c r="M441" s="132"/>
      <c r="N441" s="50"/>
      <c r="O441" s="50"/>
      <c r="P441" s="50"/>
    </row>
    <row r="442" spans="4:16">
      <c r="D442" s="177"/>
      <c r="E442" s="592" t="s">
        <v>346</v>
      </c>
      <c r="F442" s="105"/>
      <c r="G442" s="105"/>
      <c r="H442" s="131"/>
      <c r="I442" s="131"/>
      <c r="J442" s="131"/>
      <c r="K442" s="131"/>
      <c r="L442" s="131"/>
      <c r="M442" s="132"/>
      <c r="N442" s="50"/>
      <c r="O442" s="50"/>
      <c r="P442" s="50"/>
    </row>
    <row r="443" spans="4:16" ht="3" customHeight="1">
      <c r="D443" s="177"/>
      <c r="E443" s="131"/>
      <c r="F443" s="105"/>
      <c r="G443" s="105"/>
      <c r="H443" s="131"/>
      <c r="I443" s="131"/>
      <c r="J443" s="131"/>
      <c r="K443" s="131"/>
      <c r="L443" s="131"/>
      <c r="M443" s="132"/>
      <c r="N443" s="50"/>
      <c r="O443" s="50"/>
      <c r="P443" s="50"/>
    </row>
    <row r="444" spans="4:16" ht="17.25" customHeight="1">
      <c r="D444" s="177"/>
      <c r="E444" s="131"/>
      <c r="F444" s="105"/>
      <c r="G444" s="105"/>
      <c r="H444" s="131"/>
      <c r="I444" s="131"/>
      <c r="J444" s="131"/>
      <c r="K444" s="131"/>
      <c r="L444" s="131"/>
      <c r="M444" s="132"/>
      <c r="N444" s="50"/>
      <c r="O444" s="50"/>
      <c r="P444" s="50"/>
    </row>
    <row r="445" spans="4:16" ht="3" customHeight="1">
      <c r="D445" s="177"/>
      <c r="E445" s="131"/>
      <c r="F445" s="105"/>
      <c r="G445" s="105"/>
      <c r="H445" s="131"/>
      <c r="I445" s="131"/>
      <c r="J445" s="131"/>
      <c r="K445" s="131"/>
      <c r="L445" s="131"/>
      <c r="M445" s="132"/>
      <c r="N445" s="50"/>
      <c r="O445" s="50"/>
      <c r="P445" s="50"/>
    </row>
    <row r="446" spans="4:16" ht="18" customHeight="1">
      <c r="D446" s="269"/>
      <c r="E446" s="264"/>
      <c r="F446" s="590" t="s">
        <v>507</v>
      </c>
      <c r="G446" s="265"/>
      <c r="H446" s="265"/>
      <c r="I446" s="267"/>
      <c r="J446" s="270" t="s">
        <v>77</v>
      </c>
      <c r="K446" s="267"/>
      <c r="L446" s="331"/>
      <c r="M446" s="132"/>
      <c r="N446" s="50"/>
      <c r="O446" s="50"/>
      <c r="P446" s="50"/>
    </row>
    <row r="447" spans="4:16" ht="15">
      <c r="D447" s="130"/>
      <c r="E447" s="123" t="s">
        <v>212</v>
      </c>
      <c r="F447" s="105"/>
      <c r="G447" s="125"/>
      <c r="H447" s="131"/>
      <c r="I447" s="131"/>
      <c r="J447" s="131"/>
      <c r="K447" s="131"/>
      <c r="L447" s="131"/>
      <c r="M447" s="132"/>
      <c r="N447" s="50"/>
      <c r="O447" s="50"/>
      <c r="P447" s="50"/>
    </row>
    <row r="448" spans="4:16" ht="21" customHeight="1">
      <c r="D448" s="130"/>
      <c r="E448" s="581" t="s">
        <v>208</v>
      </c>
      <c r="F448" s="105"/>
      <c r="G448" s="125"/>
      <c r="H448" s="131"/>
      <c r="I448" s="131"/>
      <c r="J448" s="131"/>
      <c r="K448" s="131"/>
      <c r="L448" s="131"/>
      <c r="M448" s="132"/>
      <c r="N448" s="50"/>
      <c r="O448" s="50"/>
      <c r="P448" s="50"/>
    </row>
    <row r="449" spans="4:16" ht="15">
      <c r="D449" s="130"/>
      <c r="E449" s="124" t="s">
        <v>448</v>
      </c>
      <c r="F449" s="105"/>
      <c r="G449" s="125"/>
      <c r="H449" s="131"/>
      <c r="I449" s="131"/>
      <c r="J449" s="131"/>
      <c r="K449" s="131"/>
      <c r="L449" s="131"/>
      <c r="M449" s="132"/>
      <c r="N449" s="50"/>
      <c r="O449" s="50"/>
      <c r="P449" s="50"/>
    </row>
    <row r="450" spans="4:16" ht="15">
      <c r="D450" s="130"/>
      <c r="E450" s="582" t="s">
        <v>449</v>
      </c>
      <c r="F450" s="105"/>
      <c r="G450" s="125"/>
      <c r="H450" s="131"/>
      <c r="I450" s="131"/>
      <c r="J450" s="131"/>
      <c r="K450" s="131"/>
      <c r="L450" s="131"/>
      <c r="M450" s="132"/>
      <c r="N450" s="50"/>
      <c r="O450" s="50"/>
      <c r="P450" s="50"/>
    </row>
    <row r="451" spans="4:16" ht="19.5" customHeight="1">
      <c r="D451" s="130"/>
      <c r="E451" s="589" t="s">
        <v>508</v>
      </c>
      <c r="F451" s="595"/>
      <c r="G451" s="591"/>
      <c r="H451" s="588"/>
      <c r="I451" s="588"/>
      <c r="J451" s="588"/>
      <c r="K451" s="131"/>
      <c r="L451" s="131"/>
      <c r="M451" s="132"/>
      <c r="N451" s="50"/>
      <c r="O451" s="50"/>
      <c r="P451" s="50"/>
    </row>
    <row r="452" spans="4:16" ht="15">
      <c r="D452" s="130"/>
      <c r="E452" s="591" t="s">
        <v>450</v>
      </c>
      <c r="F452" s="595"/>
      <c r="G452" s="591"/>
      <c r="H452" s="588"/>
      <c r="I452" s="588"/>
      <c r="J452" s="588"/>
      <c r="K452" s="131"/>
      <c r="L452" s="131"/>
      <c r="M452" s="132"/>
      <c r="N452" s="50"/>
      <c r="O452" s="50"/>
      <c r="P452" s="50"/>
    </row>
    <row r="453" spans="4:16" ht="24.9" customHeight="1">
      <c r="D453" s="130"/>
      <c r="E453" s="596" t="s">
        <v>451</v>
      </c>
      <c r="F453" s="595"/>
      <c r="G453" s="591"/>
      <c r="H453" s="588"/>
      <c r="I453" s="588"/>
      <c r="J453" s="588"/>
      <c r="K453" s="131"/>
      <c r="L453" s="131"/>
      <c r="M453" s="132"/>
      <c r="N453" s="50"/>
      <c r="O453" s="50"/>
      <c r="P453" s="50"/>
    </row>
    <row r="454" spans="4:16" ht="17.25" customHeight="1">
      <c r="D454" s="179"/>
      <c r="E454" s="180"/>
      <c r="F454" s="180"/>
      <c r="G454" s="180"/>
      <c r="H454" s="180"/>
      <c r="I454" s="180"/>
      <c r="J454" s="180"/>
      <c r="K454" s="180"/>
      <c r="L454" s="180"/>
      <c r="M454" s="329"/>
      <c r="N454" s="75"/>
      <c r="O454" s="50"/>
      <c r="P454" s="50"/>
    </row>
    <row r="455" spans="4:16">
      <c r="D455" s="50"/>
      <c r="E455" s="50"/>
      <c r="F455" s="50"/>
      <c r="G455" s="50"/>
      <c r="H455" s="50"/>
      <c r="I455" s="50"/>
      <c r="J455" s="50"/>
      <c r="K455" s="50"/>
      <c r="L455" s="50"/>
      <c r="M455" s="75"/>
      <c r="N455" s="75"/>
      <c r="O455" s="50"/>
      <c r="P455" s="50"/>
    </row>
    <row r="456" spans="4:16">
      <c r="D456" s="50"/>
      <c r="E456" s="50"/>
      <c r="F456" s="50"/>
      <c r="G456" s="50"/>
      <c r="H456" s="50"/>
      <c r="I456" s="50"/>
      <c r="J456" s="50"/>
      <c r="K456" s="50"/>
      <c r="L456" s="50"/>
      <c r="M456" s="75"/>
      <c r="N456" s="75"/>
      <c r="O456" s="50"/>
      <c r="P456" s="50"/>
    </row>
    <row r="457" spans="4:16">
      <c r="D457" s="50"/>
      <c r="E457" s="50"/>
      <c r="F457" s="50"/>
      <c r="G457" s="50"/>
      <c r="H457" s="50"/>
      <c r="I457" s="50"/>
      <c r="J457" s="50"/>
      <c r="K457" s="50"/>
      <c r="L457" s="50"/>
      <c r="M457" s="75"/>
      <c r="N457" s="75"/>
      <c r="O457" s="50"/>
      <c r="P457" s="50"/>
    </row>
    <row r="458" spans="4:16">
      <c r="D458" s="50"/>
      <c r="E458" s="50"/>
      <c r="F458" s="50"/>
      <c r="G458" s="50"/>
      <c r="H458" s="50"/>
      <c r="I458" s="50"/>
      <c r="J458" s="50"/>
      <c r="K458" s="50"/>
      <c r="L458" s="50"/>
      <c r="M458" s="75"/>
      <c r="N458" s="75"/>
      <c r="O458" s="50"/>
      <c r="P458" s="50"/>
    </row>
    <row r="459" spans="4:16">
      <c r="D459" s="50"/>
      <c r="E459" s="50"/>
      <c r="F459" s="50"/>
      <c r="G459" s="50"/>
      <c r="H459" s="50"/>
      <c r="I459" s="50"/>
      <c r="J459" s="50"/>
      <c r="K459" s="50"/>
      <c r="L459" s="50"/>
      <c r="M459" s="75"/>
      <c r="N459" s="75"/>
      <c r="O459" s="50"/>
      <c r="P459" s="50"/>
    </row>
    <row r="460" spans="4:16">
      <c r="D460" s="50"/>
      <c r="E460" s="50"/>
      <c r="F460" s="50"/>
      <c r="G460" s="50"/>
      <c r="H460" s="50"/>
      <c r="I460" s="50"/>
      <c r="J460" s="50"/>
      <c r="K460" s="50"/>
      <c r="L460" s="50"/>
      <c r="M460" s="75"/>
      <c r="N460" s="75"/>
      <c r="O460" s="50"/>
      <c r="P460" s="50"/>
    </row>
    <row r="461" spans="4:16">
      <c r="D461" s="50"/>
      <c r="E461" s="50"/>
      <c r="F461" s="50"/>
      <c r="G461" s="50"/>
      <c r="H461" s="50"/>
      <c r="I461" s="50"/>
      <c r="J461" s="50"/>
      <c r="K461" s="50"/>
      <c r="L461" s="50"/>
      <c r="M461" s="75"/>
      <c r="N461" s="75"/>
      <c r="O461" s="50"/>
      <c r="P461" s="50"/>
    </row>
    <row r="462" spans="4:16">
      <c r="D462" s="50"/>
      <c r="E462" s="50"/>
      <c r="F462" s="50"/>
      <c r="G462" s="50"/>
      <c r="H462" s="50"/>
      <c r="I462" s="50"/>
      <c r="J462" s="50"/>
      <c r="K462" s="50"/>
      <c r="L462" s="50"/>
      <c r="M462" s="75"/>
      <c r="N462" s="75"/>
      <c r="O462" s="50"/>
      <c r="P462" s="50"/>
    </row>
    <row r="463" spans="4:16">
      <c r="D463" s="50"/>
      <c r="E463" s="50"/>
      <c r="F463" s="50"/>
      <c r="G463" s="50"/>
      <c r="H463" s="50"/>
      <c r="I463" s="50"/>
      <c r="J463" s="50"/>
      <c r="K463" s="50"/>
      <c r="L463" s="50"/>
      <c r="M463" s="75"/>
      <c r="N463" s="75"/>
      <c r="O463" s="50"/>
      <c r="P463" s="50"/>
    </row>
    <row r="464" spans="4:16">
      <c r="D464" s="50"/>
      <c r="E464" s="50"/>
      <c r="F464" s="50"/>
      <c r="G464" s="50"/>
      <c r="H464" s="50"/>
      <c r="I464" s="50"/>
      <c r="J464" s="50"/>
      <c r="K464" s="50"/>
      <c r="L464" s="50"/>
      <c r="M464" s="75"/>
      <c r="N464" s="75"/>
      <c r="O464" s="50"/>
      <c r="P464" s="50"/>
    </row>
    <row r="465" spans="4:37">
      <c r="D465" s="50"/>
      <c r="E465" s="50"/>
      <c r="F465" s="50"/>
      <c r="G465" s="50"/>
      <c r="H465" s="50"/>
      <c r="I465" s="50"/>
      <c r="J465" s="50"/>
      <c r="K465" s="50"/>
      <c r="L465" s="50"/>
      <c r="M465" s="75"/>
      <c r="N465" s="75"/>
      <c r="O465" s="50"/>
      <c r="P465" s="50"/>
    </row>
    <row r="466" spans="4:37">
      <c r="D466" s="50"/>
      <c r="E466" s="50"/>
      <c r="F466" s="50"/>
      <c r="G466" s="50"/>
      <c r="H466" s="50"/>
      <c r="I466" s="50"/>
      <c r="J466" s="50"/>
      <c r="K466" s="50"/>
      <c r="L466" s="50"/>
      <c r="M466" s="75"/>
      <c r="N466" s="75"/>
      <c r="O466" s="50"/>
      <c r="P466" s="50"/>
    </row>
    <row r="467" spans="4:37">
      <c r="D467" s="50"/>
      <c r="E467" s="50"/>
      <c r="F467" s="50"/>
      <c r="G467" s="50"/>
      <c r="H467" s="50"/>
      <c r="I467" s="50"/>
      <c r="J467" s="50"/>
      <c r="K467" s="50"/>
      <c r="L467" s="50"/>
      <c r="M467" s="75"/>
      <c r="N467" s="75"/>
      <c r="O467" s="50"/>
      <c r="P467" s="50"/>
    </row>
    <row r="468" spans="4:37" ht="21.9" customHeight="1">
      <c r="D468" s="786" t="s">
        <v>341</v>
      </c>
      <c r="E468" s="787"/>
      <c r="F468" s="787"/>
      <c r="G468" s="787"/>
      <c r="H468" s="787"/>
      <c r="I468" s="787"/>
      <c r="J468" s="787"/>
      <c r="K468" s="787"/>
      <c r="L468" s="787"/>
      <c r="M468" s="788"/>
      <c r="N468" s="75"/>
      <c r="O468" s="50"/>
      <c r="P468" s="50"/>
    </row>
    <row r="469" spans="4:37" ht="12.75" customHeight="1">
      <c r="D469" s="133"/>
      <c r="E469" s="125"/>
      <c r="F469" s="125"/>
      <c r="G469" s="125"/>
      <c r="H469" s="125"/>
      <c r="I469" s="125"/>
      <c r="J469" s="125"/>
      <c r="K469" s="125"/>
      <c r="L469" s="125"/>
      <c r="M469" s="330"/>
      <c r="N469" s="75"/>
      <c r="O469" s="50"/>
      <c r="P469" s="50"/>
    </row>
    <row r="470" spans="4:37" ht="12.75" customHeight="1">
      <c r="D470" s="133"/>
      <c r="E470" s="597" t="s">
        <v>347</v>
      </c>
      <c r="F470" s="339"/>
      <c r="G470" s="334"/>
      <c r="H470" s="334"/>
      <c r="I470" s="334"/>
      <c r="J470" s="334"/>
      <c r="K470" s="334"/>
      <c r="L470" s="334"/>
      <c r="M470" s="330"/>
      <c r="N470" s="75"/>
      <c r="O470" s="50"/>
      <c r="P470" s="50"/>
    </row>
    <row r="471" spans="4:37" ht="5.0999999999999996" customHeight="1">
      <c r="D471" s="130"/>
      <c r="E471" s="586"/>
      <c r="F471" s="131"/>
      <c r="G471" s="131"/>
      <c r="H471" s="131"/>
      <c r="I471" s="131"/>
      <c r="J471" s="131"/>
      <c r="K471" s="131"/>
      <c r="L471" s="131"/>
      <c r="M471" s="330"/>
      <c r="N471" s="75"/>
      <c r="O471" s="50"/>
      <c r="P471" s="50"/>
    </row>
    <row r="472" spans="4:37" ht="15">
      <c r="D472" s="130"/>
      <c r="E472" s="578" t="s">
        <v>452</v>
      </c>
      <c r="F472" s="125"/>
      <c r="G472" s="131"/>
      <c r="H472" s="131"/>
      <c r="I472" s="131"/>
      <c r="J472" s="131"/>
      <c r="K472" s="131"/>
      <c r="L472" s="131"/>
      <c r="M472" s="330"/>
      <c r="N472" s="75"/>
      <c r="O472" s="50"/>
      <c r="P472" s="50"/>
    </row>
    <row r="473" spans="4:37">
      <c r="D473" s="130"/>
      <c r="E473" s="598" t="s">
        <v>453</v>
      </c>
      <c r="F473" s="131"/>
      <c r="G473" s="131"/>
      <c r="H473" s="131"/>
      <c r="I473" s="131"/>
      <c r="J473" s="131"/>
      <c r="K473" s="131"/>
      <c r="L473" s="131"/>
      <c r="M473" s="330"/>
      <c r="N473" s="75"/>
      <c r="O473" s="50"/>
      <c r="P473" s="50"/>
    </row>
    <row r="474" spans="4:37" ht="17.25" customHeight="1">
      <c r="D474" s="130"/>
      <c r="E474" s="183"/>
      <c r="F474" s="183"/>
      <c r="G474" s="183"/>
      <c r="H474" s="183"/>
      <c r="I474" s="183"/>
      <c r="J474" s="183"/>
      <c r="K474" s="183"/>
      <c r="L474" s="131"/>
      <c r="M474" s="330"/>
      <c r="N474" s="75"/>
      <c r="O474" s="50"/>
      <c r="P474" s="50"/>
    </row>
    <row r="475" spans="4:37" ht="18" customHeight="1">
      <c r="D475" s="269"/>
      <c r="E475" s="174"/>
      <c r="F475" s="583" t="s">
        <v>512</v>
      </c>
      <c r="G475" s="174"/>
      <c r="H475" s="174"/>
      <c r="I475" s="176" t="s">
        <v>155</v>
      </c>
      <c r="J475" s="176"/>
      <c r="K475" s="176"/>
      <c r="L475" s="331"/>
      <c r="M475" s="168"/>
      <c r="N475" s="165"/>
      <c r="O475" s="165"/>
      <c r="P475" s="165"/>
    </row>
    <row r="476" spans="4:37" ht="3" customHeight="1">
      <c r="D476" s="130"/>
      <c r="E476" s="182"/>
      <c r="F476" s="182"/>
      <c r="G476" s="182"/>
      <c r="H476" s="182"/>
      <c r="I476" s="182"/>
      <c r="J476" s="182"/>
      <c r="K476" s="182"/>
      <c r="L476" s="131"/>
      <c r="M476" s="132"/>
      <c r="N476" s="50"/>
      <c r="O476" s="50"/>
      <c r="P476" s="50"/>
    </row>
    <row r="477" spans="4:37" ht="8.1" customHeight="1">
      <c r="D477" s="130"/>
      <c r="E477" s="107"/>
      <c r="F477" s="169"/>
      <c r="G477" s="107"/>
      <c r="H477" s="107"/>
      <c r="I477" s="107"/>
      <c r="J477" s="107"/>
      <c r="K477" s="107"/>
      <c r="L477" s="107"/>
      <c r="M477" s="114"/>
      <c r="N477" s="106"/>
      <c r="O477" s="106"/>
      <c r="P477" s="106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</row>
    <row r="478" spans="4:37" ht="15" customHeight="1">
      <c r="D478" s="130"/>
      <c r="E478" s="581" t="s">
        <v>208</v>
      </c>
      <c r="F478" s="131"/>
      <c r="G478" s="144"/>
      <c r="H478" s="144"/>
      <c r="I478" s="144"/>
      <c r="J478" s="144"/>
      <c r="K478" s="144"/>
      <c r="L478" s="131"/>
      <c r="M478" s="132"/>
      <c r="N478" s="50"/>
      <c r="O478" s="50"/>
      <c r="P478" s="50"/>
    </row>
    <row r="479" spans="4:37" ht="14.1" customHeight="1">
      <c r="D479" s="130"/>
      <c r="E479" s="580" t="s">
        <v>509</v>
      </c>
      <c r="F479" s="131"/>
      <c r="G479" s="144"/>
      <c r="H479" s="144"/>
      <c r="I479" s="144"/>
      <c r="J479" s="144"/>
      <c r="K479" s="144"/>
      <c r="L479" s="131"/>
      <c r="M479" s="132"/>
      <c r="N479" s="50"/>
      <c r="O479" s="50"/>
      <c r="P479" s="50"/>
    </row>
    <row r="480" spans="4:37" ht="14.1" customHeight="1">
      <c r="D480" s="130"/>
      <c r="E480" s="580" t="s">
        <v>454</v>
      </c>
      <c r="F480" s="131"/>
      <c r="G480" s="144"/>
      <c r="H480" s="144"/>
      <c r="I480" s="144"/>
      <c r="J480" s="144"/>
      <c r="K480" s="144"/>
      <c r="L480" s="131"/>
      <c r="M480" s="132"/>
      <c r="N480" s="50"/>
      <c r="O480" s="50"/>
      <c r="P480" s="50"/>
    </row>
    <row r="481" spans="4:37" ht="14.1" customHeight="1">
      <c r="D481" s="173"/>
      <c r="E481" s="580" t="s">
        <v>510</v>
      </c>
      <c r="F481" s="131"/>
      <c r="G481" s="144"/>
      <c r="H481" s="144"/>
      <c r="I481" s="144"/>
      <c r="J481" s="144"/>
      <c r="K481" s="144"/>
      <c r="L481" s="131"/>
      <c r="M481" s="132"/>
      <c r="N481" s="50"/>
      <c r="O481" s="50"/>
      <c r="P481" s="50"/>
    </row>
    <row r="482" spans="4:37" ht="14.1" customHeight="1">
      <c r="D482" s="173"/>
      <c r="E482" s="580" t="s">
        <v>393</v>
      </c>
      <c r="F482" s="131"/>
      <c r="G482" s="144"/>
      <c r="H482" s="144"/>
      <c r="I482" s="144"/>
      <c r="J482" s="144"/>
      <c r="K482" s="144"/>
      <c r="L482" s="131"/>
      <c r="M482" s="132"/>
      <c r="N482" s="50"/>
      <c r="O482" s="50"/>
      <c r="P482" s="50"/>
    </row>
    <row r="483" spans="4:37" ht="14.1" customHeight="1">
      <c r="D483" s="111"/>
      <c r="E483" s="580" t="s">
        <v>394</v>
      </c>
      <c r="F483" s="131"/>
      <c r="G483" s="105"/>
      <c r="H483" s="105"/>
      <c r="I483" s="105"/>
      <c r="J483" s="105"/>
      <c r="K483" s="105"/>
      <c r="L483" s="105"/>
      <c r="M483" s="178"/>
      <c r="N483" s="170"/>
      <c r="O483" s="170"/>
      <c r="P483" s="170"/>
      <c r="Q483" s="74"/>
      <c r="R483" s="74"/>
      <c r="S483" s="74"/>
      <c r="T483" s="74"/>
      <c r="U483" s="74"/>
      <c r="V483" s="74"/>
      <c r="W483" s="74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  <c r="AI483" s="74"/>
      <c r="AJ483" s="74"/>
      <c r="AK483" s="74"/>
    </row>
    <row r="484" spans="4:37" ht="8.1" customHeight="1">
      <c r="D484" s="130"/>
      <c r="E484" s="202"/>
      <c r="F484" s="125"/>
      <c r="G484" s="125"/>
      <c r="H484" s="125"/>
      <c r="I484" s="125"/>
      <c r="J484" s="125"/>
      <c r="K484" s="125"/>
      <c r="L484" s="131"/>
      <c r="M484" s="132"/>
      <c r="N484" s="50"/>
      <c r="O484" s="50"/>
      <c r="P484" s="50"/>
    </row>
    <row r="485" spans="4:37" ht="19.2">
      <c r="D485" s="130"/>
      <c r="E485" s="589" t="s">
        <v>511</v>
      </c>
      <c r="F485" s="125"/>
      <c r="G485" s="125"/>
      <c r="H485" s="125"/>
      <c r="I485" s="125"/>
      <c r="J485" s="125"/>
      <c r="K485" s="125"/>
      <c r="L485" s="131"/>
      <c r="M485" s="132"/>
      <c r="N485" s="50"/>
      <c r="O485" s="50"/>
      <c r="P485" s="50"/>
    </row>
    <row r="486" spans="4:37" ht="15">
      <c r="D486" s="130"/>
      <c r="E486" s="587" t="s">
        <v>213</v>
      </c>
      <c r="F486" s="131"/>
      <c r="G486" s="105"/>
      <c r="H486" s="131"/>
      <c r="I486" s="131"/>
      <c r="J486" s="131"/>
      <c r="K486" s="131"/>
      <c r="L486" s="131"/>
      <c r="M486" s="132"/>
      <c r="N486" s="50"/>
      <c r="O486" s="50"/>
      <c r="P486" s="50"/>
    </row>
    <row r="487" spans="4:37" ht="17.25" customHeight="1">
      <c r="D487" s="130"/>
      <c r="E487" s="187"/>
      <c r="F487" s="188"/>
      <c r="G487" s="188"/>
      <c r="H487" s="183"/>
      <c r="I487" s="183"/>
      <c r="J487" s="183"/>
      <c r="K487" s="183"/>
      <c r="L487" s="131"/>
      <c r="M487" s="132"/>
      <c r="N487" s="50"/>
      <c r="O487" s="50"/>
      <c r="P487" s="50"/>
    </row>
    <row r="488" spans="4:37" ht="18" customHeight="1">
      <c r="D488" s="269"/>
      <c r="E488" s="174"/>
      <c r="F488" s="175" t="s">
        <v>392</v>
      </c>
      <c r="G488" s="174"/>
      <c r="H488" s="174"/>
      <c r="I488" s="176" t="s">
        <v>78</v>
      </c>
      <c r="J488" s="176"/>
      <c r="K488" s="176"/>
      <c r="L488" s="331"/>
      <c r="M488" s="132"/>
      <c r="N488" s="50"/>
      <c r="O488" s="50"/>
      <c r="P488" s="50"/>
    </row>
    <row r="489" spans="4:37" ht="8.1" customHeight="1">
      <c r="D489" s="130"/>
      <c r="E489" s="131"/>
      <c r="F489" s="105"/>
      <c r="G489" s="105"/>
      <c r="H489" s="131"/>
      <c r="I489" s="131"/>
      <c r="J489" s="131"/>
      <c r="K489" s="131"/>
      <c r="L489" s="131"/>
      <c r="M489" s="132"/>
      <c r="N489" s="50"/>
      <c r="O489" s="50"/>
      <c r="P489" s="50"/>
    </row>
    <row r="490" spans="4:37" ht="15">
      <c r="D490" s="177"/>
      <c r="E490" s="123" t="s">
        <v>214</v>
      </c>
      <c r="F490" s="131"/>
      <c r="G490" s="105"/>
      <c r="H490" s="131"/>
      <c r="I490" s="131"/>
      <c r="J490" s="131"/>
      <c r="K490" s="131"/>
      <c r="L490" s="131"/>
      <c r="M490" s="132"/>
      <c r="N490" s="50"/>
      <c r="O490" s="50"/>
      <c r="P490" s="50"/>
    </row>
    <row r="491" spans="4:37" ht="15">
      <c r="D491" s="177"/>
      <c r="E491" s="581" t="s">
        <v>208</v>
      </c>
      <c r="F491" s="131"/>
      <c r="G491" s="105"/>
      <c r="H491" s="131"/>
      <c r="I491" s="131"/>
      <c r="J491" s="131"/>
      <c r="K491" s="131"/>
      <c r="L491" s="131"/>
      <c r="M491" s="132"/>
      <c r="N491" s="50"/>
      <c r="O491" s="50"/>
      <c r="P491" s="50"/>
    </row>
    <row r="492" spans="4:37" ht="15">
      <c r="D492" s="177"/>
      <c r="E492" s="580" t="s">
        <v>350</v>
      </c>
      <c r="F492" s="131"/>
      <c r="G492" s="131"/>
      <c r="H492" s="131"/>
      <c r="I492" s="131"/>
      <c r="J492" s="131"/>
      <c r="K492" s="131"/>
      <c r="L492" s="131"/>
      <c r="M492" s="132"/>
      <c r="N492" s="50"/>
      <c r="O492" s="50"/>
      <c r="P492" s="50"/>
    </row>
    <row r="493" spans="4:37" ht="14.25" customHeight="1">
      <c r="D493" s="111"/>
      <c r="E493" s="580" t="s">
        <v>455</v>
      </c>
      <c r="F493" s="131"/>
      <c r="G493" s="105"/>
      <c r="H493" s="105"/>
      <c r="I493" s="105"/>
      <c r="J493" s="105"/>
      <c r="K493" s="105"/>
      <c r="L493" s="105"/>
      <c r="M493" s="178"/>
      <c r="N493" s="170"/>
      <c r="O493" s="170"/>
      <c r="P493" s="170"/>
      <c r="Q493" s="74"/>
      <c r="R493" s="74"/>
      <c r="S493" s="74"/>
      <c r="T493" s="74"/>
      <c r="U493" s="74"/>
      <c r="V493" s="74"/>
      <c r="W493" s="74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  <c r="AI493" s="74"/>
      <c r="AJ493" s="74"/>
      <c r="AK493" s="74"/>
    </row>
    <row r="494" spans="4:37" ht="8.1" customHeight="1">
      <c r="D494" s="111"/>
      <c r="E494" s="123"/>
      <c r="F494" s="131"/>
      <c r="G494" s="105"/>
      <c r="H494" s="105"/>
      <c r="I494" s="105"/>
      <c r="J494" s="105"/>
      <c r="K494" s="105"/>
      <c r="L494" s="105"/>
      <c r="M494" s="178"/>
      <c r="N494" s="170"/>
      <c r="O494" s="170"/>
      <c r="P494" s="170"/>
      <c r="Q494" s="74"/>
      <c r="R494" s="74"/>
      <c r="S494" s="74"/>
      <c r="T494" s="74"/>
      <c r="U494" s="74"/>
      <c r="V494" s="74"/>
      <c r="W494" s="74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  <c r="AI494" s="74"/>
      <c r="AJ494" s="74"/>
      <c r="AK494" s="74"/>
    </row>
    <row r="495" spans="4:37" ht="18" customHeight="1">
      <c r="D495" s="130"/>
      <c r="E495" s="589" t="s">
        <v>513</v>
      </c>
      <c r="F495" s="131"/>
      <c r="G495" s="105"/>
      <c r="H495" s="131"/>
      <c r="I495" s="131"/>
      <c r="J495" s="131"/>
      <c r="K495" s="131"/>
      <c r="L495" s="131"/>
      <c r="M495" s="132"/>
      <c r="N495" s="50"/>
      <c r="O495" s="50"/>
      <c r="P495" s="50"/>
    </row>
    <row r="496" spans="4:37" ht="14.25" customHeight="1">
      <c r="D496" s="130"/>
      <c r="E496" s="587" t="s">
        <v>348</v>
      </c>
      <c r="F496" s="131"/>
      <c r="G496" s="105"/>
      <c r="H496" s="131"/>
      <c r="I496" s="131"/>
      <c r="J496" s="131"/>
      <c r="K496" s="131"/>
      <c r="L496" s="131"/>
      <c r="M496" s="132"/>
      <c r="N496" s="50"/>
      <c r="O496" s="50"/>
      <c r="P496" s="50"/>
    </row>
    <row r="497" spans="4:37" ht="15.75" customHeight="1">
      <c r="D497" s="130"/>
      <c r="E497" s="587" t="s">
        <v>349</v>
      </c>
      <c r="F497" s="105"/>
      <c r="G497" s="105"/>
      <c r="H497" s="131"/>
      <c r="I497" s="131"/>
      <c r="J497" s="131"/>
      <c r="K497" s="131"/>
      <c r="L497" s="131"/>
      <c r="M497" s="132"/>
      <c r="N497" s="50"/>
      <c r="O497" s="50"/>
      <c r="P497" s="50"/>
    </row>
    <row r="498" spans="4:37" ht="17.25" customHeight="1">
      <c r="D498" s="130"/>
      <c r="E498" s="131"/>
      <c r="F498" s="105"/>
      <c r="G498" s="105"/>
      <c r="H498" s="131"/>
      <c r="I498" s="131"/>
      <c r="J498" s="131"/>
      <c r="K498" s="131"/>
      <c r="L498" s="131"/>
      <c r="M498" s="132"/>
      <c r="N498" s="50"/>
      <c r="O498" s="50"/>
      <c r="P498" s="50"/>
    </row>
    <row r="499" spans="4:37" ht="18" customHeight="1">
      <c r="D499" s="269"/>
      <c r="E499" s="174"/>
      <c r="F499" s="583" t="s">
        <v>514</v>
      </c>
      <c r="G499" s="174"/>
      <c r="H499" s="174"/>
      <c r="I499" s="176" t="s">
        <v>515</v>
      </c>
      <c r="J499" s="176"/>
      <c r="K499" s="176"/>
      <c r="L499" s="331"/>
      <c r="M499" s="132"/>
      <c r="N499" s="50"/>
      <c r="O499" s="50"/>
      <c r="P499" s="50"/>
    </row>
    <row r="500" spans="4:37" ht="8.1" customHeight="1">
      <c r="D500" s="130"/>
      <c r="E500" s="184"/>
      <c r="F500" s="185"/>
      <c r="G500" s="182"/>
      <c r="H500" s="182"/>
      <c r="I500" s="182"/>
      <c r="J500" s="182"/>
      <c r="K500" s="182"/>
      <c r="L500" s="131"/>
      <c r="M500" s="132"/>
      <c r="N500" s="50"/>
      <c r="O500" s="50"/>
      <c r="P500" s="50"/>
    </row>
    <row r="501" spans="4:37" ht="15">
      <c r="D501" s="130"/>
      <c r="E501" s="581" t="s">
        <v>208</v>
      </c>
      <c r="F501" s="105"/>
      <c r="G501" s="131"/>
      <c r="H501" s="131"/>
      <c r="I501" s="131"/>
      <c r="J501" s="131"/>
      <c r="K501" s="131"/>
      <c r="L501" s="131"/>
      <c r="M501" s="132"/>
      <c r="N501" s="50"/>
      <c r="O501" s="50"/>
      <c r="P501" s="50"/>
    </row>
    <row r="502" spans="4:37" ht="14.1" customHeight="1">
      <c r="D502" s="130"/>
      <c r="E502" s="580" t="s">
        <v>350</v>
      </c>
      <c r="F502" s="105"/>
      <c r="G502" s="131"/>
      <c r="H502" s="131"/>
      <c r="I502" s="131"/>
      <c r="J502" s="131"/>
      <c r="K502" s="131"/>
      <c r="L502" s="131"/>
      <c r="M502" s="178"/>
      <c r="N502" s="170"/>
      <c r="O502" s="170"/>
      <c r="P502" s="170"/>
      <c r="Q502" s="74"/>
      <c r="R502" s="74"/>
      <c r="S502" s="74"/>
      <c r="T502" s="74"/>
      <c r="U502" s="74"/>
      <c r="V502" s="74"/>
      <c r="W502" s="74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  <c r="AI502" s="74"/>
      <c r="AJ502" s="74"/>
      <c r="AK502" s="74"/>
    </row>
    <row r="503" spans="4:37" ht="14.1" customHeight="1">
      <c r="D503" s="130"/>
      <c r="E503" s="580" t="s">
        <v>351</v>
      </c>
      <c r="F503" s="105"/>
      <c r="G503" s="131"/>
      <c r="H503" s="131"/>
      <c r="I503" s="131"/>
      <c r="J503" s="131"/>
      <c r="K503" s="131"/>
      <c r="L503" s="131"/>
      <c r="M503" s="178"/>
      <c r="N503" s="170"/>
      <c r="O503" s="170"/>
      <c r="P503" s="170"/>
      <c r="Q503" s="74"/>
      <c r="R503" s="74"/>
      <c r="S503" s="74"/>
      <c r="T503" s="74"/>
      <c r="U503" s="74"/>
      <c r="V503" s="74"/>
      <c r="W503" s="74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  <c r="AI503" s="74"/>
      <c r="AJ503" s="74"/>
      <c r="AK503" s="74"/>
    </row>
    <row r="504" spans="4:37" ht="14.1" customHeight="1">
      <c r="D504" s="130"/>
      <c r="E504" s="580" t="s">
        <v>350</v>
      </c>
      <c r="F504" s="105"/>
      <c r="G504" s="131"/>
      <c r="H504" s="131"/>
      <c r="I504" s="131"/>
      <c r="J504" s="131"/>
      <c r="K504" s="131"/>
      <c r="L504" s="131"/>
      <c r="M504" s="132"/>
      <c r="N504" s="50"/>
      <c r="O504" s="50"/>
      <c r="P504" s="50"/>
    </row>
    <row r="505" spans="4:37" ht="14.1" customHeight="1">
      <c r="D505" s="130"/>
      <c r="E505" s="580" t="s">
        <v>351</v>
      </c>
      <c r="F505" s="105"/>
      <c r="G505" s="131"/>
      <c r="H505" s="131"/>
      <c r="I505" s="131"/>
      <c r="J505" s="131"/>
      <c r="K505" s="131"/>
      <c r="L505" s="131"/>
      <c r="M505" s="132"/>
      <c r="N505" s="50"/>
      <c r="O505" s="50"/>
      <c r="P505" s="50"/>
    </row>
    <row r="506" spans="4:37" ht="8.1" customHeight="1">
      <c r="D506" s="130"/>
      <c r="E506" s="105"/>
      <c r="F506" s="105"/>
      <c r="G506" s="105"/>
      <c r="H506" s="131"/>
      <c r="I506" s="131"/>
      <c r="J506" s="131"/>
      <c r="K506" s="131"/>
      <c r="L506" s="131"/>
      <c r="M506" s="132"/>
      <c r="N506" s="50"/>
      <c r="O506" s="50"/>
      <c r="P506" s="50"/>
    </row>
    <row r="507" spans="4:37" ht="16.8">
      <c r="D507" s="130"/>
      <c r="E507" s="589" t="s">
        <v>516</v>
      </c>
      <c r="F507" s="105"/>
      <c r="G507" s="131"/>
      <c r="H507" s="131"/>
      <c r="I507" s="131"/>
      <c r="J507" s="131"/>
      <c r="K507" s="131"/>
      <c r="L507" s="131"/>
      <c r="M507" s="132"/>
      <c r="N507" s="50"/>
      <c r="O507" s="50"/>
      <c r="P507" s="50"/>
    </row>
    <row r="508" spans="4:37" ht="15">
      <c r="D508" s="130"/>
      <c r="E508" s="587" t="s">
        <v>215</v>
      </c>
      <c r="F508" s="105"/>
      <c r="G508" s="131"/>
      <c r="H508" s="131"/>
      <c r="I508" s="131"/>
      <c r="J508" s="131"/>
      <c r="K508" s="131"/>
      <c r="L508" s="131"/>
      <c r="M508" s="132"/>
      <c r="N508" s="50"/>
      <c r="O508" s="50"/>
      <c r="P508" s="50"/>
    </row>
    <row r="509" spans="4:37" ht="17.25" customHeight="1">
      <c r="D509" s="186"/>
      <c r="E509" s="145"/>
      <c r="F509" s="145"/>
      <c r="G509" s="145"/>
      <c r="H509" s="145"/>
      <c r="I509" s="145"/>
      <c r="J509" s="145"/>
      <c r="K509" s="145"/>
      <c r="L509" s="145"/>
      <c r="M509" s="146"/>
      <c r="N509" s="50"/>
      <c r="O509" s="50"/>
      <c r="P509" s="50"/>
    </row>
    <row r="510" spans="4:37">
      <c r="M510" s="50"/>
      <c r="N510" s="50"/>
      <c r="O510" s="50"/>
      <c r="P510" s="50"/>
    </row>
    <row r="511" spans="4:37" ht="18" customHeight="1">
      <c r="M511" s="50"/>
      <c r="N511" s="50"/>
      <c r="O511" s="50"/>
      <c r="P511" s="50"/>
    </row>
    <row r="512" spans="4:37"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</row>
    <row r="513" spans="4:16"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</row>
    <row r="514" spans="4:16"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</row>
    <row r="515" spans="4:16"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</row>
    <row r="516" spans="4:16"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</row>
    <row r="517" spans="4:16"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</row>
    <row r="518" spans="4:16"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</row>
    <row r="519" spans="4:16"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</row>
    <row r="520" spans="4:16"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</row>
    <row r="521" spans="4:16"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</row>
    <row r="522" spans="4:16"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</row>
    <row r="523" spans="4:16"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</row>
    <row r="524" spans="4:16"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</row>
    <row r="525" spans="4:16"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</row>
    <row r="526" spans="4:16"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</row>
    <row r="527" spans="4:16"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</row>
    <row r="528" spans="4:16"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</row>
    <row r="529" spans="4:37"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</row>
    <row r="530" spans="4:37">
      <c r="M530" s="50"/>
      <c r="N530" s="50"/>
      <c r="O530" s="50"/>
      <c r="P530" s="50"/>
    </row>
    <row r="531" spans="4:37">
      <c r="M531" s="50"/>
      <c r="N531" s="50"/>
      <c r="O531" s="50"/>
      <c r="P531" s="50"/>
    </row>
    <row r="532" spans="4:37">
      <c r="M532" s="50"/>
      <c r="N532" s="50"/>
      <c r="O532" s="50"/>
      <c r="P532" s="50"/>
    </row>
    <row r="533" spans="4:37">
      <c r="M533" s="50"/>
      <c r="N533" s="50"/>
      <c r="O533" s="50"/>
      <c r="P533" s="50"/>
    </row>
    <row r="534" spans="4:37" ht="15">
      <c r="M534" s="152"/>
      <c r="N534" s="152"/>
      <c r="O534" s="152"/>
      <c r="P534" s="152"/>
    </row>
    <row r="535" spans="4:37" ht="12.75" customHeight="1" thickBot="1">
      <c r="D535" s="50"/>
      <c r="E535" s="50"/>
      <c r="F535" s="50"/>
      <c r="G535" s="50"/>
      <c r="H535" s="50"/>
      <c r="I535" s="50"/>
      <c r="J535" s="50"/>
      <c r="K535" s="50"/>
      <c r="L535" s="50"/>
      <c r="M535" s="189"/>
      <c r="N535" s="189"/>
      <c r="O535" s="189"/>
      <c r="P535" s="189"/>
    </row>
    <row r="536" spans="4:37" ht="21.9" customHeight="1" thickBot="1">
      <c r="D536" s="747" t="s">
        <v>341</v>
      </c>
      <c r="E536" s="748"/>
      <c r="F536" s="748"/>
      <c r="G536" s="748"/>
      <c r="H536" s="748"/>
      <c r="I536" s="748"/>
      <c r="J536" s="748"/>
      <c r="K536" s="748"/>
      <c r="L536" s="748"/>
      <c r="M536" s="749"/>
      <c r="N536" s="152"/>
      <c r="O536" s="152"/>
      <c r="P536" s="152"/>
    </row>
    <row r="537" spans="4:37" ht="12.75" customHeight="1">
      <c r="D537" s="133"/>
      <c r="E537" s="125"/>
      <c r="F537" s="125"/>
      <c r="G537" s="125"/>
      <c r="H537" s="125"/>
      <c r="I537" s="125"/>
      <c r="J537" s="125"/>
      <c r="K537" s="125"/>
      <c r="L537" s="125"/>
      <c r="M537" s="114"/>
      <c r="N537" s="106"/>
      <c r="O537" s="106"/>
      <c r="P537" s="106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</row>
    <row r="538" spans="4:37" ht="12.75" customHeight="1">
      <c r="D538" s="133"/>
      <c r="E538" s="336" t="s">
        <v>352</v>
      </c>
      <c r="F538" s="338"/>
      <c r="G538" s="337"/>
      <c r="H538" s="334"/>
      <c r="I538" s="334"/>
      <c r="J538" s="334"/>
      <c r="K538" s="334"/>
      <c r="L538" s="334"/>
      <c r="M538" s="132"/>
      <c r="N538" s="50"/>
      <c r="O538" s="50"/>
      <c r="P538" s="50"/>
    </row>
    <row r="539" spans="4:37" ht="20.100000000000001" customHeight="1">
      <c r="D539" s="130"/>
      <c r="E539" s="580" t="s">
        <v>459</v>
      </c>
      <c r="F539" s="125"/>
      <c r="G539" s="131"/>
      <c r="H539" s="131"/>
      <c r="I539" s="131"/>
      <c r="J539" s="131"/>
      <c r="K539" s="131"/>
      <c r="L539" s="131"/>
      <c r="M539" s="132"/>
      <c r="N539" s="50"/>
      <c r="O539" s="50"/>
      <c r="P539" s="50"/>
    </row>
    <row r="540" spans="4:37" ht="14.1" customHeight="1">
      <c r="D540" s="130"/>
      <c r="E540" s="580" t="s">
        <v>460</v>
      </c>
      <c r="F540" s="105"/>
      <c r="G540" s="105"/>
      <c r="H540" s="144"/>
      <c r="I540" s="144"/>
      <c r="J540" s="144"/>
      <c r="K540" s="144"/>
      <c r="L540" s="131"/>
      <c r="M540" s="132"/>
      <c r="N540" s="50"/>
      <c r="O540" s="50"/>
      <c r="P540" s="50"/>
    </row>
    <row r="541" spans="4:37" ht="14.1" customHeight="1">
      <c r="D541" s="130"/>
      <c r="E541" s="580" t="s">
        <v>461</v>
      </c>
      <c r="F541" s="105"/>
      <c r="G541" s="105"/>
      <c r="H541" s="144"/>
      <c r="I541" s="144"/>
      <c r="J541" s="144"/>
      <c r="K541" s="144"/>
      <c r="L541" s="131"/>
      <c r="M541" s="132"/>
      <c r="N541" s="50"/>
      <c r="O541" s="50"/>
      <c r="P541" s="50"/>
    </row>
    <row r="542" spans="4:37" ht="14.1" customHeight="1">
      <c r="D542" s="130"/>
      <c r="E542" s="580" t="s">
        <v>462</v>
      </c>
      <c r="F542" s="105"/>
      <c r="G542" s="105"/>
      <c r="H542" s="144"/>
      <c r="I542" s="144"/>
      <c r="J542" s="144"/>
      <c r="K542" s="144"/>
      <c r="L542" s="131"/>
      <c r="M542" s="132"/>
      <c r="N542" s="50"/>
      <c r="O542" s="50"/>
      <c r="P542" s="50"/>
    </row>
    <row r="543" spans="4:37" ht="14.1" customHeight="1">
      <c r="D543" s="173"/>
      <c r="E543" s="580" t="s">
        <v>456</v>
      </c>
      <c r="F543" s="105"/>
      <c r="G543" s="105"/>
      <c r="H543" s="144"/>
      <c r="I543" s="144"/>
      <c r="J543" s="144"/>
      <c r="K543" s="144"/>
      <c r="L543" s="131"/>
      <c r="M543" s="132"/>
      <c r="N543" s="50"/>
      <c r="O543" s="50"/>
      <c r="P543" s="50"/>
    </row>
    <row r="544" spans="4:37" ht="14.1" customHeight="1">
      <c r="D544" s="192"/>
      <c r="E544" s="582" t="s">
        <v>457</v>
      </c>
      <c r="F544" s="105"/>
      <c r="G544" s="105"/>
      <c r="H544" s="105"/>
      <c r="I544" s="105"/>
      <c r="J544" s="105"/>
      <c r="K544" s="193"/>
      <c r="L544" s="328"/>
      <c r="M544" s="178"/>
      <c r="N544" s="170"/>
      <c r="O544" s="170"/>
      <c r="P544" s="170"/>
      <c r="Q544" s="74"/>
      <c r="R544" s="74"/>
      <c r="S544" s="74"/>
      <c r="T544" s="74"/>
      <c r="U544" s="74"/>
      <c r="V544" s="74"/>
      <c r="W544" s="74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  <c r="AI544" s="74"/>
      <c r="AJ544" s="74"/>
      <c r="AK544" s="74"/>
    </row>
    <row r="545" spans="4:37" ht="14.1" customHeight="1">
      <c r="D545" s="130"/>
      <c r="E545" s="580" t="s">
        <v>458</v>
      </c>
      <c r="F545" s="105"/>
      <c r="G545" s="105"/>
      <c r="H545" s="194"/>
      <c r="I545" s="195"/>
      <c r="J545" s="195"/>
      <c r="K545" s="195"/>
      <c r="L545" s="131"/>
      <c r="M545" s="132"/>
      <c r="N545" s="50"/>
      <c r="O545" s="50"/>
      <c r="P545" s="50"/>
      <c r="Q545" s="74"/>
      <c r="R545" s="74"/>
      <c r="S545" s="74"/>
      <c r="T545" s="74"/>
      <c r="U545" s="74"/>
      <c r="V545" s="74"/>
      <c r="W545" s="74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  <c r="AI545" s="74"/>
      <c r="AJ545" s="74"/>
      <c r="AK545" s="74"/>
    </row>
    <row r="546" spans="4:37" ht="17.25" customHeight="1">
      <c r="D546" s="130"/>
      <c r="E546" s="194"/>
      <c r="F546" s="105"/>
      <c r="G546" s="105"/>
      <c r="H546" s="194"/>
      <c r="I546" s="195"/>
      <c r="J546" s="195"/>
      <c r="K546" s="195"/>
      <c r="L546" s="131"/>
      <c r="M546" s="132"/>
      <c r="N546" s="50"/>
      <c r="O546" s="50"/>
      <c r="P546" s="50"/>
      <c r="Q546" s="74"/>
      <c r="R546" s="74"/>
      <c r="S546" s="74"/>
      <c r="T546" s="74"/>
      <c r="U546" s="74"/>
      <c r="V546" s="74"/>
      <c r="W546" s="74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  <c r="AI546" s="74"/>
      <c r="AJ546" s="74"/>
      <c r="AK546" s="74"/>
    </row>
    <row r="547" spans="4:37" ht="18" customHeight="1">
      <c r="D547" s="271"/>
      <c r="E547" s="174"/>
      <c r="F547" s="583" t="s">
        <v>497</v>
      </c>
      <c r="G547" s="174"/>
      <c r="H547" s="174"/>
      <c r="I547" s="181"/>
      <c r="J547" s="176" t="s">
        <v>74</v>
      </c>
      <c r="K547" s="176"/>
      <c r="L547" s="331"/>
      <c r="M547" s="132"/>
      <c r="N547" s="50"/>
      <c r="O547" s="50"/>
      <c r="P547" s="50"/>
    </row>
    <row r="548" spans="4:37" ht="8.1" customHeight="1">
      <c r="D548" s="130"/>
      <c r="E548" s="196"/>
      <c r="F548" s="105"/>
      <c r="G548" s="105"/>
      <c r="H548" s="131"/>
      <c r="I548" s="131"/>
      <c r="J548" s="131"/>
      <c r="K548" s="131"/>
      <c r="L548" s="131"/>
      <c r="M548" s="132"/>
      <c r="N548" s="50"/>
      <c r="O548" s="50"/>
      <c r="P548" s="50"/>
    </row>
    <row r="549" spans="4:37" ht="16.2">
      <c r="D549" s="130"/>
      <c r="E549" s="581" t="s">
        <v>208</v>
      </c>
      <c r="F549" s="194"/>
      <c r="G549" s="105"/>
      <c r="H549" s="131"/>
      <c r="I549" s="131"/>
      <c r="J549" s="131"/>
      <c r="K549" s="131"/>
      <c r="L549" s="131"/>
      <c r="M549" s="132"/>
      <c r="N549" s="50"/>
      <c r="O549" s="50"/>
      <c r="P549" s="50"/>
    </row>
    <row r="550" spans="4:37" ht="14.1" customHeight="1">
      <c r="D550" s="192"/>
      <c r="E550" s="580" t="s">
        <v>464</v>
      </c>
      <c r="F550" s="131"/>
      <c r="G550" s="105"/>
      <c r="H550" s="105"/>
      <c r="I550" s="105"/>
      <c r="J550" s="105"/>
      <c r="K550" s="193"/>
      <c r="L550" s="328"/>
      <c r="M550" s="178"/>
      <c r="N550" s="170"/>
      <c r="O550" s="170"/>
      <c r="P550" s="170"/>
      <c r="Q550" s="74"/>
      <c r="R550" s="74"/>
      <c r="S550" s="74"/>
      <c r="T550" s="74"/>
      <c r="U550" s="74"/>
      <c r="V550" s="74"/>
      <c r="W550" s="74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  <c r="AI550" s="74"/>
      <c r="AJ550" s="74"/>
      <c r="AK550" s="74"/>
    </row>
    <row r="551" spans="4:37" ht="14.1" customHeight="1">
      <c r="D551" s="130"/>
      <c r="E551" s="580" t="s">
        <v>463</v>
      </c>
      <c r="F551" s="105"/>
      <c r="G551" s="105"/>
      <c r="H551" s="131"/>
      <c r="I551" s="131"/>
      <c r="J551" s="131"/>
      <c r="K551" s="131"/>
      <c r="L551" s="131"/>
      <c r="M551" s="132"/>
      <c r="N551" s="50"/>
      <c r="O551" s="50"/>
      <c r="P551" s="50"/>
    </row>
    <row r="552" spans="4:37" ht="8.1" customHeight="1">
      <c r="D552" s="130"/>
      <c r="E552" s="105"/>
      <c r="F552" s="105"/>
      <c r="G552" s="105"/>
      <c r="H552" s="131"/>
      <c r="I552" s="131"/>
      <c r="J552" s="131"/>
      <c r="K552" s="131"/>
      <c r="L552" s="131"/>
      <c r="M552" s="132"/>
      <c r="N552" s="50"/>
      <c r="O552" s="50"/>
      <c r="P552" s="50"/>
    </row>
    <row r="553" spans="4:37" ht="16.8">
      <c r="D553" s="177"/>
      <c r="E553" s="589" t="s">
        <v>498</v>
      </c>
      <c r="F553" s="105"/>
      <c r="G553" s="105"/>
      <c r="H553" s="131"/>
      <c r="I553" s="131"/>
      <c r="J553" s="131"/>
      <c r="K553" s="131"/>
      <c r="L553" s="131"/>
      <c r="M553" s="132"/>
      <c r="N553" s="50"/>
      <c r="O553" s="50"/>
      <c r="P553" s="50"/>
    </row>
    <row r="554" spans="4:37" ht="17.25" customHeight="1">
      <c r="D554" s="130"/>
      <c r="E554" s="131"/>
      <c r="F554" s="105"/>
      <c r="G554" s="105"/>
      <c r="H554" s="131"/>
      <c r="I554" s="131"/>
      <c r="J554" s="131"/>
      <c r="K554" s="131"/>
      <c r="L554" s="131"/>
      <c r="M554" s="132"/>
      <c r="N554" s="50"/>
      <c r="O554" s="50"/>
      <c r="P554" s="50"/>
    </row>
    <row r="555" spans="4:37" ht="18" customHeight="1">
      <c r="D555" s="271"/>
      <c r="E555" s="174"/>
      <c r="F555" s="584" t="s">
        <v>382</v>
      </c>
      <c r="G555" s="174"/>
      <c r="H555" s="174"/>
      <c r="I555" s="181"/>
      <c r="J555" s="176" t="s">
        <v>75</v>
      </c>
      <c r="K555" s="176"/>
      <c r="L555" s="331"/>
      <c r="M555" s="132"/>
      <c r="N555" s="50"/>
      <c r="O555" s="50"/>
      <c r="P555" s="50"/>
    </row>
    <row r="556" spans="4:37" ht="8.1" customHeight="1">
      <c r="D556" s="130"/>
      <c r="E556" s="131"/>
      <c r="F556" s="105"/>
      <c r="G556" s="144"/>
      <c r="H556" s="131"/>
      <c r="I556" s="131"/>
      <c r="J556" s="131"/>
      <c r="K556" s="131"/>
      <c r="L556" s="131"/>
      <c r="M556" s="132"/>
      <c r="N556" s="50"/>
      <c r="O556" s="50"/>
      <c r="P556" s="50"/>
    </row>
    <row r="557" spans="4:37" ht="16.2">
      <c r="D557" s="130"/>
      <c r="E557" s="581" t="s">
        <v>208</v>
      </c>
      <c r="F557" s="131"/>
      <c r="G557" s="144"/>
      <c r="H557" s="131"/>
      <c r="I557" s="131"/>
      <c r="J557" s="131"/>
      <c r="K557" s="131"/>
      <c r="L557" s="131"/>
      <c r="M557" s="132"/>
      <c r="N557" s="50"/>
      <c r="O557" s="50"/>
      <c r="P557" s="50"/>
    </row>
    <row r="558" spans="4:37" ht="14.1" customHeight="1">
      <c r="D558" s="130"/>
      <c r="E558" s="580" t="s">
        <v>465</v>
      </c>
      <c r="F558" s="131"/>
      <c r="G558" s="144"/>
      <c r="H558" s="131"/>
      <c r="I558" s="131"/>
      <c r="J558" s="131"/>
      <c r="K558" s="131"/>
      <c r="L558" s="131"/>
      <c r="M558" s="132"/>
      <c r="N558" s="50"/>
      <c r="O558" s="50"/>
      <c r="P558" s="50"/>
    </row>
    <row r="559" spans="4:37" ht="21.75" customHeight="1">
      <c r="D559" s="130"/>
      <c r="E559" s="585" t="s">
        <v>466</v>
      </c>
      <c r="F559" s="105"/>
      <c r="G559" s="144"/>
      <c r="H559" s="131"/>
      <c r="I559" s="131"/>
      <c r="J559" s="131"/>
      <c r="K559" s="131"/>
      <c r="L559" s="131"/>
      <c r="M559" s="132"/>
      <c r="N559" s="50"/>
      <c r="O559" s="50"/>
      <c r="P559" s="50"/>
    </row>
    <row r="560" spans="4:37" ht="16.8">
      <c r="D560" s="130"/>
      <c r="E560" s="589" t="s">
        <v>92</v>
      </c>
      <c r="F560" s="105"/>
      <c r="G560" s="144"/>
      <c r="H560" s="131"/>
      <c r="I560" s="131"/>
      <c r="J560" s="131"/>
      <c r="K560" s="131"/>
      <c r="L560" s="131"/>
      <c r="M560" s="132"/>
      <c r="N560" s="50"/>
      <c r="O560" s="50"/>
      <c r="P560" s="50"/>
    </row>
    <row r="561" spans="4:16" ht="14.1" customHeight="1">
      <c r="D561" s="130"/>
      <c r="E561" s="587" t="s">
        <v>467</v>
      </c>
      <c r="F561" s="105"/>
      <c r="G561" s="144"/>
      <c r="H561" s="131"/>
      <c r="I561" s="131"/>
      <c r="J561" s="131"/>
      <c r="K561" s="131"/>
      <c r="L561" s="131"/>
      <c r="M561" s="132"/>
      <c r="N561" s="50"/>
      <c r="O561" s="50"/>
      <c r="P561" s="50"/>
    </row>
    <row r="562" spans="4:16" ht="14.1" customHeight="1">
      <c r="D562" s="130"/>
      <c r="E562" s="588" t="s">
        <v>468</v>
      </c>
      <c r="F562" s="144"/>
      <c r="G562" s="144"/>
      <c r="H562" s="131"/>
      <c r="I562" s="131"/>
      <c r="J562" s="131"/>
      <c r="K562" s="131"/>
      <c r="L562" s="131"/>
      <c r="M562" s="132"/>
      <c r="N562" s="50"/>
      <c r="O562" s="50"/>
      <c r="P562" s="50"/>
    </row>
    <row r="563" spans="4:16" ht="17.25" customHeight="1">
      <c r="D563" s="130"/>
      <c r="E563" s="131"/>
      <c r="F563" s="105"/>
      <c r="G563" s="105"/>
      <c r="H563" s="105"/>
      <c r="I563" s="105"/>
      <c r="J563" s="105"/>
      <c r="K563" s="131"/>
      <c r="L563" s="131"/>
      <c r="M563" s="146"/>
      <c r="N563" s="50"/>
      <c r="O563" s="50"/>
      <c r="P563" s="50"/>
    </row>
    <row r="564" spans="4:16" ht="15">
      <c r="D564" s="154"/>
      <c r="E564" s="154"/>
      <c r="F564" s="148"/>
      <c r="G564" s="197"/>
      <c r="H564" s="154"/>
      <c r="I564" s="154"/>
      <c r="J564" s="154"/>
      <c r="K564" s="154"/>
      <c r="L564" s="154"/>
      <c r="M564" s="50"/>
      <c r="N564" s="50"/>
      <c r="O564" s="50"/>
      <c r="P564" s="50"/>
    </row>
    <row r="565" spans="4:16">
      <c r="D565" s="50"/>
      <c r="E565" s="50"/>
      <c r="H565" s="50"/>
      <c r="I565" s="50"/>
      <c r="J565" s="50"/>
      <c r="K565" s="50"/>
      <c r="L565" s="50"/>
      <c r="M565" s="50"/>
      <c r="N565" s="50"/>
      <c r="O565" s="50"/>
      <c r="P565" s="50"/>
    </row>
    <row r="566" spans="4:16">
      <c r="D566" s="50"/>
      <c r="E566" s="50"/>
      <c r="H566" s="50"/>
      <c r="I566" s="50"/>
      <c r="J566" s="50"/>
      <c r="K566" s="50"/>
      <c r="L566" s="50"/>
      <c r="M566" s="50"/>
      <c r="N566" s="50"/>
      <c r="O566" s="50"/>
      <c r="P566" s="50"/>
    </row>
    <row r="567" spans="4:16">
      <c r="D567" s="50"/>
      <c r="E567" s="50"/>
      <c r="G567" s="47"/>
      <c r="H567" s="50"/>
      <c r="I567" s="50"/>
      <c r="J567" s="50"/>
      <c r="K567" s="50"/>
      <c r="L567" s="50"/>
      <c r="M567" s="50"/>
      <c r="N567" s="50"/>
      <c r="O567" s="50"/>
      <c r="P567" s="50"/>
    </row>
    <row r="568" spans="4:16" ht="15">
      <c r="D568" s="50"/>
      <c r="E568" s="50"/>
      <c r="F568" s="49"/>
      <c r="G568" s="50"/>
      <c r="H568" s="50"/>
      <c r="I568" s="50"/>
      <c r="J568" s="50"/>
      <c r="K568" s="50"/>
      <c r="L568" s="50"/>
      <c r="M568" s="50"/>
      <c r="N568" s="50"/>
      <c r="O568" s="50"/>
      <c r="P568" s="50"/>
    </row>
    <row r="569" spans="4:16" ht="15">
      <c r="D569" s="50"/>
      <c r="E569" s="50"/>
      <c r="H569" s="190"/>
      <c r="J569" s="191"/>
      <c r="K569" s="50"/>
      <c r="L569" s="50"/>
      <c r="M569" s="50"/>
      <c r="N569" s="50"/>
      <c r="O569" s="50"/>
      <c r="P569" s="50"/>
    </row>
    <row r="570" spans="4:16" ht="15">
      <c r="D570" s="50"/>
      <c r="E570" s="50"/>
      <c r="F570" s="48"/>
      <c r="G570" s="50"/>
      <c r="H570" s="50"/>
      <c r="I570" s="50"/>
      <c r="J570" s="50"/>
      <c r="K570" s="50"/>
      <c r="L570" s="50"/>
      <c r="M570" s="50"/>
      <c r="N570" s="50"/>
      <c r="O570" s="50"/>
      <c r="P570" s="50"/>
    </row>
    <row r="571" spans="4:16">
      <c r="D571" s="50"/>
      <c r="E571" s="50"/>
      <c r="H571" s="50"/>
      <c r="I571" s="50"/>
      <c r="J571" s="50"/>
      <c r="K571" s="50"/>
      <c r="L571" s="50"/>
      <c r="M571" s="50"/>
      <c r="N571" s="50"/>
      <c r="O571" s="50"/>
      <c r="P571" s="50"/>
    </row>
    <row r="572" spans="4:16">
      <c r="D572" s="50"/>
      <c r="E572" s="50"/>
      <c r="H572" s="50"/>
      <c r="I572" s="50"/>
      <c r="J572" s="50"/>
      <c r="K572" s="50"/>
      <c r="L572" s="50"/>
      <c r="M572" s="50"/>
      <c r="N572" s="50"/>
      <c r="O572" s="50"/>
      <c r="P572" s="50"/>
    </row>
    <row r="573" spans="4:16">
      <c r="D573" s="50"/>
      <c r="E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</row>
    <row r="574" spans="4:16">
      <c r="D574" s="50"/>
      <c r="E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</row>
    <row r="575" spans="4:16"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</row>
    <row r="576" spans="4:16"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</row>
    <row r="577" spans="4:37"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</row>
    <row r="578" spans="4:37"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</row>
    <row r="579" spans="4:37"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</row>
    <row r="580" spans="4:37"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</row>
    <row r="581" spans="4:37"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</row>
    <row r="582" spans="4:37" ht="12.75" customHeight="1" thickBot="1">
      <c r="D582" s="50"/>
      <c r="E582" s="50"/>
      <c r="F582" s="50"/>
      <c r="G582" s="50"/>
      <c r="H582" s="50"/>
      <c r="I582" s="50"/>
      <c r="J582" s="50"/>
      <c r="K582" s="50"/>
      <c r="L582" s="50"/>
      <c r="M582" s="165"/>
      <c r="N582" s="165"/>
      <c r="O582" s="165"/>
      <c r="P582" s="165"/>
    </row>
    <row r="583" spans="4:37" ht="21.9" customHeight="1" thickBot="1">
      <c r="D583" s="747" t="s">
        <v>341</v>
      </c>
      <c r="E583" s="748"/>
      <c r="F583" s="748"/>
      <c r="G583" s="748"/>
      <c r="H583" s="748"/>
      <c r="I583" s="748"/>
      <c r="J583" s="748"/>
      <c r="K583" s="748"/>
      <c r="L583" s="748"/>
      <c r="M583" s="749"/>
      <c r="N583" s="47"/>
      <c r="O583" s="47"/>
      <c r="P583" s="47"/>
    </row>
    <row r="584" spans="4:37" ht="12.75" customHeight="1">
      <c r="D584" s="159"/>
      <c r="E584" s="125"/>
      <c r="F584" s="125"/>
      <c r="G584" s="125"/>
      <c r="H584" s="125"/>
      <c r="I584" s="125"/>
      <c r="J584" s="125"/>
      <c r="K584" s="125"/>
      <c r="L584" s="125"/>
      <c r="M584" s="114"/>
      <c r="N584" s="106"/>
      <c r="O584" s="106"/>
      <c r="P584" s="106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</row>
    <row r="585" spans="4:37" ht="12.75" customHeight="1">
      <c r="D585" s="159"/>
      <c r="E585" s="158" t="s">
        <v>55</v>
      </c>
      <c r="F585" s="105"/>
      <c r="G585" s="156"/>
      <c r="H585" s="156"/>
      <c r="I585" s="156"/>
      <c r="J585" s="156"/>
      <c r="K585" s="156"/>
      <c r="L585" s="334"/>
      <c r="M585" s="114"/>
      <c r="N585" s="106"/>
      <c r="O585" s="106"/>
      <c r="P585" s="106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</row>
    <row r="586" spans="4:37" ht="11.25" customHeight="1">
      <c r="D586" s="198"/>
      <c r="E586" s="199"/>
      <c r="F586" s="200"/>
      <c r="G586" s="201"/>
      <c r="H586" s="201"/>
      <c r="I586" s="201"/>
      <c r="J586" s="201"/>
      <c r="K586" s="201"/>
      <c r="L586" s="131"/>
      <c r="M586" s="132"/>
      <c r="N586" s="50"/>
      <c r="O586" s="50"/>
      <c r="P586" s="50"/>
    </row>
    <row r="587" spans="4:37" ht="19.2">
      <c r="D587" s="198"/>
      <c r="E587" s="577" t="s">
        <v>80</v>
      </c>
      <c r="F587" s="105"/>
      <c r="G587" s="202"/>
      <c r="H587" s="144"/>
      <c r="I587" s="144"/>
      <c r="J587" s="144"/>
      <c r="K587" s="144"/>
      <c r="L587" s="131"/>
      <c r="M587" s="132"/>
      <c r="N587" s="50"/>
      <c r="O587" s="50"/>
      <c r="P587" s="50"/>
    </row>
    <row r="588" spans="4:37" ht="14.1" customHeight="1">
      <c r="D588" s="198"/>
      <c r="E588" s="578" t="s">
        <v>495</v>
      </c>
      <c r="F588" s="105"/>
      <c r="G588" s="202"/>
      <c r="H588" s="144"/>
      <c r="I588" s="144"/>
      <c r="J588" s="144"/>
      <c r="K588" s="144"/>
      <c r="L588" s="131"/>
      <c r="M588" s="132"/>
      <c r="N588" s="50"/>
      <c r="O588" s="50"/>
      <c r="P588" s="50"/>
    </row>
    <row r="589" spans="4:37" ht="14.1" customHeight="1">
      <c r="D589" s="198"/>
      <c r="E589" s="578" t="s">
        <v>469</v>
      </c>
      <c r="F589" s="105"/>
      <c r="G589" s="202"/>
      <c r="H589" s="144"/>
      <c r="I589" s="144"/>
      <c r="J589" s="144"/>
      <c r="K589" s="144"/>
      <c r="L589" s="131"/>
      <c r="M589" s="132"/>
      <c r="N589" s="50"/>
      <c r="O589" s="50"/>
      <c r="P589" s="50"/>
    </row>
    <row r="590" spans="4:37" ht="14.1" customHeight="1">
      <c r="D590" s="203"/>
      <c r="E590" s="578" t="s">
        <v>496</v>
      </c>
      <c r="F590" s="105"/>
      <c r="G590" s="202"/>
      <c r="H590" s="144"/>
      <c r="I590" s="144"/>
      <c r="J590" s="144"/>
      <c r="K590" s="144"/>
      <c r="L590" s="131"/>
      <c r="M590" s="132"/>
      <c r="N590" s="50"/>
      <c r="O590" s="50"/>
      <c r="P590" s="50"/>
    </row>
    <row r="591" spans="4:37" ht="19.2">
      <c r="D591" s="203"/>
      <c r="E591" s="144"/>
      <c r="F591" s="202"/>
      <c r="G591" s="202"/>
      <c r="H591" s="144"/>
      <c r="I591" s="144"/>
      <c r="J591" s="144"/>
      <c r="K591" s="144"/>
      <c r="L591" s="131"/>
      <c r="M591" s="132"/>
      <c r="N591" s="50"/>
      <c r="O591" s="50"/>
      <c r="P591" s="50"/>
    </row>
    <row r="592" spans="4:37" ht="18" customHeight="1">
      <c r="D592" s="271"/>
      <c r="E592" s="264"/>
      <c r="F592" s="579" t="s">
        <v>83</v>
      </c>
      <c r="G592" s="265"/>
      <c r="H592" s="265"/>
      <c r="I592" s="272" t="s">
        <v>81</v>
      </c>
      <c r="J592" s="267"/>
      <c r="K592" s="267"/>
      <c r="L592" s="331"/>
      <c r="M592" s="178"/>
      <c r="N592" s="170"/>
      <c r="O592" s="170"/>
      <c r="P592" s="170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</row>
    <row r="593" spans="4:37" ht="8.1" customHeight="1">
      <c r="D593" s="198"/>
      <c r="E593" s="196"/>
      <c r="F593" s="204"/>
      <c r="G593" s="125"/>
      <c r="H593" s="131"/>
      <c r="I593" s="131"/>
      <c r="J593" s="131"/>
      <c r="K593" s="131"/>
      <c r="L593" s="131"/>
      <c r="M593" s="132"/>
      <c r="N593" s="50"/>
      <c r="O593" s="50"/>
      <c r="P593" s="50"/>
    </row>
    <row r="594" spans="4:37" ht="15">
      <c r="D594" s="198"/>
      <c r="E594" s="581" t="s">
        <v>208</v>
      </c>
      <c r="F594" s="105"/>
      <c r="G594" s="125"/>
      <c r="H594" s="131"/>
      <c r="I594" s="131"/>
      <c r="J594" s="131"/>
      <c r="K594" s="131"/>
      <c r="L594" s="131"/>
      <c r="M594" s="132"/>
      <c r="N594" s="50"/>
      <c r="O594" s="50"/>
      <c r="P594" s="50"/>
    </row>
    <row r="595" spans="4:37" ht="14.1" customHeight="1">
      <c r="D595" s="198"/>
      <c r="E595" s="123" t="s">
        <v>82</v>
      </c>
      <c r="F595" s="105"/>
      <c r="G595" s="125"/>
      <c r="H595" s="131"/>
      <c r="I595" s="131"/>
      <c r="J595" s="131"/>
      <c r="K595" s="131"/>
      <c r="L595" s="131"/>
      <c r="M595" s="132"/>
      <c r="N595" s="50"/>
      <c r="O595" s="50"/>
      <c r="P595" s="50"/>
    </row>
    <row r="596" spans="4:37" ht="14.1" customHeight="1">
      <c r="D596" s="198"/>
      <c r="E596" s="580" t="s">
        <v>354</v>
      </c>
      <c r="F596" s="105"/>
      <c r="G596" s="125"/>
      <c r="H596" s="131"/>
      <c r="I596" s="131"/>
      <c r="J596" s="131"/>
      <c r="K596" s="131"/>
      <c r="L596" s="131"/>
      <c r="M596" s="132"/>
      <c r="N596" s="50"/>
      <c r="O596" s="50"/>
      <c r="P596" s="50"/>
    </row>
    <row r="597" spans="4:37" ht="14.1" customHeight="1">
      <c r="D597" s="198"/>
      <c r="E597" s="580" t="s">
        <v>355</v>
      </c>
      <c r="F597" s="105"/>
      <c r="G597" s="125"/>
      <c r="H597" s="131"/>
      <c r="I597" s="131"/>
      <c r="J597" s="131"/>
      <c r="K597" s="131"/>
      <c r="L597" s="131"/>
      <c r="M597" s="132"/>
      <c r="N597" s="50"/>
      <c r="O597" s="50"/>
      <c r="P597" s="50"/>
    </row>
    <row r="598" spans="4:37" ht="14.1" customHeight="1">
      <c r="D598" s="198"/>
      <c r="E598" s="580" t="s">
        <v>88</v>
      </c>
      <c r="F598" s="105"/>
      <c r="G598" s="125"/>
      <c r="H598" s="131"/>
      <c r="I598" s="131"/>
      <c r="J598" s="131"/>
      <c r="K598" s="131"/>
      <c r="L598" s="131"/>
      <c r="M598" s="132"/>
      <c r="N598" s="50"/>
      <c r="O598" s="50"/>
      <c r="P598" s="50"/>
    </row>
    <row r="599" spans="4:37" ht="17.25" customHeight="1">
      <c r="D599" s="198"/>
      <c r="E599" s="131"/>
      <c r="F599" s="202"/>
      <c r="G599" s="125"/>
      <c r="H599" s="131"/>
      <c r="I599" s="131"/>
      <c r="J599" s="131"/>
      <c r="K599" s="131"/>
      <c r="L599" s="131"/>
      <c r="M599" s="132"/>
      <c r="N599" s="50"/>
      <c r="O599" s="50"/>
      <c r="P599" s="50"/>
    </row>
    <row r="600" spans="4:37" ht="18" customHeight="1">
      <c r="D600" s="271"/>
      <c r="E600" s="264"/>
      <c r="F600" s="579" t="s">
        <v>84</v>
      </c>
      <c r="G600" s="265"/>
      <c r="H600" s="265"/>
      <c r="I600" s="272" t="s">
        <v>85</v>
      </c>
      <c r="J600" s="267"/>
      <c r="K600" s="267"/>
      <c r="L600" s="331"/>
      <c r="M600" s="178"/>
      <c r="N600" s="170"/>
      <c r="O600" s="170"/>
      <c r="P600" s="170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</row>
    <row r="601" spans="4:37" ht="8.1" customHeight="1">
      <c r="D601" s="198"/>
      <c r="E601" s="196"/>
      <c r="F601" s="204"/>
      <c r="G601" s="125"/>
      <c r="H601" s="131"/>
      <c r="I601" s="131"/>
      <c r="J601" s="131"/>
      <c r="K601" s="131"/>
      <c r="L601" s="131"/>
      <c r="M601" s="132"/>
      <c r="N601" s="50"/>
      <c r="O601" s="50"/>
      <c r="P601" s="50"/>
    </row>
    <row r="602" spans="4:37" ht="15">
      <c r="D602" s="198"/>
      <c r="E602" s="581" t="s">
        <v>208</v>
      </c>
      <c r="F602" s="105"/>
      <c r="G602" s="125"/>
      <c r="H602" s="131"/>
      <c r="I602" s="131"/>
      <c r="J602" s="131"/>
      <c r="K602" s="131"/>
      <c r="L602" s="131"/>
      <c r="M602" s="132"/>
      <c r="N602" s="50"/>
      <c r="O602" s="50"/>
      <c r="P602" s="50"/>
    </row>
    <row r="603" spans="4:37" ht="14.1" customHeight="1">
      <c r="D603" s="198"/>
      <c r="E603" s="123" t="s">
        <v>86</v>
      </c>
      <c r="F603" s="105"/>
      <c r="G603" s="125"/>
      <c r="H603" s="131"/>
      <c r="I603" s="131"/>
      <c r="J603" s="131"/>
      <c r="K603" s="131"/>
      <c r="L603" s="131"/>
      <c r="M603" s="132"/>
      <c r="N603" s="50"/>
      <c r="O603" s="50"/>
      <c r="P603" s="50"/>
    </row>
    <row r="604" spans="4:37" ht="14.1" customHeight="1">
      <c r="D604" s="198"/>
      <c r="E604" s="580" t="s">
        <v>87</v>
      </c>
      <c r="F604" s="105"/>
      <c r="G604" s="125"/>
      <c r="H604" s="131"/>
      <c r="I604" s="131"/>
      <c r="J604" s="131"/>
      <c r="K604" s="131"/>
      <c r="L604" s="131"/>
      <c r="M604" s="132"/>
      <c r="N604" s="50"/>
      <c r="O604" s="50"/>
      <c r="P604" s="50"/>
    </row>
    <row r="605" spans="4:37" ht="14.1" customHeight="1">
      <c r="D605" s="198"/>
      <c r="E605" s="580" t="s">
        <v>89</v>
      </c>
      <c r="F605" s="105"/>
      <c r="G605" s="125"/>
      <c r="H605" s="131"/>
      <c r="I605" s="131"/>
      <c r="J605" s="131"/>
      <c r="K605" s="131"/>
      <c r="L605" s="131"/>
      <c r="M605" s="132"/>
      <c r="N605" s="50"/>
      <c r="O605" s="50"/>
      <c r="P605" s="50"/>
    </row>
    <row r="606" spans="4:37" ht="17.25" customHeight="1">
      <c r="D606" s="198"/>
      <c r="E606" s="131"/>
      <c r="F606" s="202"/>
      <c r="G606" s="125"/>
      <c r="H606" s="131"/>
      <c r="I606" s="131"/>
      <c r="J606" s="131"/>
      <c r="K606" s="131"/>
      <c r="L606" s="131"/>
      <c r="M606" s="132"/>
      <c r="N606" s="50"/>
      <c r="O606" s="50"/>
      <c r="P606" s="50"/>
    </row>
    <row r="607" spans="4:37" ht="18" customHeight="1">
      <c r="D607" s="271"/>
      <c r="E607" s="264"/>
      <c r="F607" s="579" t="s">
        <v>251</v>
      </c>
      <c r="G607" s="265"/>
      <c r="H607" s="265"/>
      <c r="I607" s="272" t="s">
        <v>90</v>
      </c>
      <c r="J607" s="267"/>
      <c r="K607" s="267"/>
      <c r="L607" s="331"/>
      <c r="M607" s="178"/>
      <c r="N607" s="170"/>
      <c r="O607" s="170"/>
      <c r="P607" s="170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</row>
    <row r="608" spans="4:37" ht="8.1" customHeight="1">
      <c r="D608" s="198"/>
      <c r="E608" s="196"/>
      <c r="F608" s="204"/>
      <c r="G608" s="125"/>
      <c r="H608" s="131"/>
      <c r="I608" s="131"/>
      <c r="J608" s="131"/>
      <c r="K608" s="131"/>
      <c r="L608" s="131"/>
      <c r="M608" s="132"/>
      <c r="N608" s="50"/>
      <c r="O608" s="50"/>
      <c r="P608" s="50"/>
    </row>
    <row r="609" spans="4:16" ht="15">
      <c r="D609" s="198"/>
      <c r="E609" s="581" t="s">
        <v>208</v>
      </c>
      <c r="F609" s="105"/>
      <c r="G609" s="125"/>
      <c r="H609" s="131"/>
      <c r="I609" s="131"/>
      <c r="J609" s="131"/>
      <c r="K609" s="131"/>
      <c r="L609" s="131"/>
      <c r="M609" s="132"/>
      <c r="N609" s="50"/>
      <c r="O609" s="50"/>
      <c r="P609" s="50"/>
    </row>
    <row r="610" spans="4:16" ht="15">
      <c r="D610" s="198"/>
      <c r="E610" s="123" t="s">
        <v>356</v>
      </c>
      <c r="F610" s="105"/>
      <c r="G610" s="125"/>
      <c r="H610" s="131"/>
      <c r="I610" s="131"/>
      <c r="J610" s="131"/>
      <c r="K610" s="131"/>
      <c r="L610" s="131"/>
      <c r="M610" s="132"/>
      <c r="N610" s="50"/>
      <c r="O610" s="50"/>
      <c r="P610" s="50"/>
    </row>
    <row r="611" spans="4:16" ht="15">
      <c r="D611" s="198"/>
      <c r="E611" s="580" t="s">
        <v>470</v>
      </c>
      <c r="F611" s="105"/>
      <c r="G611" s="125"/>
      <c r="H611" s="131"/>
      <c r="I611" s="131"/>
      <c r="J611" s="131"/>
      <c r="K611" s="131"/>
      <c r="L611" s="131"/>
      <c r="M611" s="132"/>
      <c r="N611" s="50"/>
      <c r="O611" s="50"/>
      <c r="P611" s="50"/>
    </row>
    <row r="612" spans="4:16" ht="15">
      <c r="D612" s="198"/>
      <c r="E612" s="580" t="s">
        <v>471</v>
      </c>
      <c r="F612" s="105"/>
      <c r="G612" s="125"/>
      <c r="H612" s="131"/>
      <c r="I612" s="131"/>
      <c r="J612" s="131"/>
      <c r="K612" s="131"/>
      <c r="L612" s="131"/>
      <c r="M612" s="132"/>
      <c r="N612" s="50"/>
      <c r="O612" s="50"/>
      <c r="P612" s="50"/>
    </row>
    <row r="613" spans="4:16" ht="15">
      <c r="D613" s="198"/>
      <c r="E613" s="580" t="s">
        <v>357</v>
      </c>
      <c r="F613" s="105"/>
      <c r="G613" s="125"/>
      <c r="H613" s="131"/>
      <c r="I613" s="131"/>
      <c r="J613" s="131"/>
      <c r="K613" s="131"/>
      <c r="L613" s="131"/>
      <c r="M613" s="132"/>
      <c r="N613" s="50"/>
      <c r="O613" s="50"/>
      <c r="P613" s="50"/>
    </row>
    <row r="614" spans="4:16" ht="15">
      <c r="D614" s="198"/>
      <c r="E614" s="123" t="s">
        <v>358</v>
      </c>
      <c r="F614" s="105"/>
      <c r="G614" s="125"/>
      <c r="H614" s="131"/>
      <c r="I614" s="131"/>
      <c r="J614" s="131"/>
      <c r="K614" s="131"/>
      <c r="L614" s="131"/>
      <c r="M614" s="132"/>
      <c r="N614" s="50"/>
      <c r="O614" s="50"/>
      <c r="P614" s="50"/>
    </row>
    <row r="615" spans="4:16" ht="17.25" customHeight="1">
      <c r="D615" s="206"/>
      <c r="E615" s="100"/>
      <c r="F615" s="171"/>
      <c r="G615" s="100"/>
      <c r="H615" s="100"/>
      <c r="I615" s="100"/>
      <c r="J615" s="100"/>
      <c r="K615" s="100"/>
      <c r="L615" s="100"/>
      <c r="M615" s="146"/>
      <c r="N615" s="50"/>
      <c r="O615" s="50"/>
      <c r="P615" s="50"/>
    </row>
    <row r="616" spans="4:16"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</row>
    <row r="617" spans="4:16"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</row>
    <row r="618" spans="4:16"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</row>
    <row r="619" spans="4:16"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</row>
    <row r="620" spans="4:16"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</row>
    <row r="621" spans="4:16"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</row>
    <row r="622" spans="4:16"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</row>
    <row r="623" spans="4:16"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</row>
    <row r="624" spans="4:16"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</row>
    <row r="625" spans="4:16"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</row>
    <row r="626" spans="4:16"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</row>
    <row r="627" spans="4:16"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</row>
    <row r="628" spans="4:16"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</row>
    <row r="629" spans="4:16"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</row>
    <row r="630" spans="4:16"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</row>
    <row r="631" spans="4:16"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</row>
    <row r="632" spans="4:16"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</row>
    <row r="633" spans="4:16"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</row>
    <row r="634" spans="4:16"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</row>
    <row r="635" spans="4:16"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</row>
    <row r="636" spans="4:16"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</row>
    <row r="637" spans="4:16"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</row>
    <row r="638" spans="4:16" ht="13.8" thickBot="1"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</row>
    <row r="639" spans="4:16" ht="21.9" customHeight="1" thickBot="1">
      <c r="D639" s="747" t="s">
        <v>341</v>
      </c>
      <c r="E639" s="748"/>
      <c r="F639" s="748"/>
      <c r="G639" s="748"/>
      <c r="H639" s="748"/>
      <c r="I639" s="748"/>
      <c r="J639" s="748"/>
      <c r="K639" s="748"/>
      <c r="L639" s="748"/>
      <c r="M639" s="749"/>
      <c r="N639" s="165"/>
      <c r="O639" s="165"/>
      <c r="P639" s="165"/>
    </row>
    <row r="640" spans="4:16" ht="12.75" customHeight="1">
      <c r="D640" s="159"/>
      <c r="E640" s="125"/>
      <c r="F640" s="125"/>
      <c r="G640" s="125"/>
      <c r="H640" s="125"/>
      <c r="I640" s="125"/>
      <c r="J640" s="125"/>
      <c r="K640" s="125"/>
      <c r="L640" s="125"/>
      <c r="M640" s="132"/>
      <c r="N640" s="50"/>
      <c r="O640" s="50"/>
      <c r="P640" s="50"/>
    </row>
    <row r="641" spans="4:37" ht="12.75" customHeight="1">
      <c r="D641" s="207"/>
      <c r="E641" s="599" t="s">
        <v>252</v>
      </c>
      <c r="F641" s="335"/>
      <c r="G641" s="340"/>
      <c r="H641" s="340"/>
      <c r="I641" s="340"/>
      <c r="J641" s="340"/>
      <c r="K641" s="340"/>
      <c r="L641" s="340"/>
      <c r="M641" s="114"/>
      <c r="N641" s="106"/>
      <c r="O641" s="106"/>
      <c r="P641" s="106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</row>
    <row r="642" spans="4:37" ht="14.1" customHeight="1">
      <c r="D642" s="198"/>
      <c r="E642" s="578" t="s">
        <v>474</v>
      </c>
      <c r="F642" s="105"/>
      <c r="G642" s="125"/>
      <c r="H642" s="144"/>
      <c r="I642" s="144"/>
      <c r="J642" s="144"/>
      <c r="K642" s="144"/>
      <c r="L642" s="131"/>
      <c r="M642" s="132"/>
      <c r="N642" s="50"/>
      <c r="O642" s="50"/>
      <c r="P642" s="50"/>
    </row>
    <row r="643" spans="4:37" ht="14.1" customHeight="1">
      <c r="D643" s="198"/>
      <c r="E643" s="578" t="s">
        <v>475</v>
      </c>
      <c r="F643" s="105"/>
      <c r="G643" s="125"/>
      <c r="H643" s="144"/>
      <c r="I643" s="144"/>
      <c r="J643" s="144"/>
      <c r="K643" s="144"/>
      <c r="L643" s="131"/>
      <c r="M643" s="132"/>
      <c r="N643" s="50"/>
      <c r="O643" s="50"/>
      <c r="P643" s="50"/>
    </row>
    <row r="644" spans="4:37" ht="14.1" customHeight="1">
      <c r="D644" s="198"/>
      <c r="E644" s="578" t="s">
        <v>472</v>
      </c>
      <c r="F644" s="105"/>
      <c r="G644" s="125"/>
      <c r="H644" s="144"/>
      <c r="I644" s="144"/>
      <c r="J644" s="144"/>
      <c r="K644" s="144"/>
      <c r="L644" s="131"/>
      <c r="M644" s="132"/>
      <c r="N644" s="50"/>
      <c r="O644" s="50"/>
      <c r="P644" s="50"/>
    </row>
    <row r="645" spans="4:37" ht="14.1" customHeight="1">
      <c r="D645" s="198"/>
      <c r="E645" s="578" t="s">
        <v>359</v>
      </c>
      <c r="F645" s="105"/>
      <c r="G645" s="125"/>
      <c r="H645" s="144"/>
      <c r="I645" s="144"/>
      <c r="J645" s="144"/>
      <c r="K645" s="144"/>
      <c r="L645" s="131"/>
      <c r="M645" s="132"/>
      <c r="N645" s="50"/>
      <c r="O645" s="50"/>
      <c r="P645" s="50"/>
    </row>
    <row r="646" spans="4:37" ht="14.1" customHeight="1">
      <c r="D646" s="198"/>
      <c r="E646" s="578" t="s">
        <v>473</v>
      </c>
      <c r="F646" s="105"/>
      <c r="G646" s="125"/>
      <c r="H646" s="144"/>
      <c r="I646" s="144"/>
      <c r="J646" s="144"/>
      <c r="K646" s="144"/>
      <c r="L646" s="131"/>
      <c r="M646" s="132"/>
      <c r="N646" s="50"/>
      <c r="O646" s="50"/>
      <c r="P646" s="50"/>
    </row>
    <row r="647" spans="4:37" ht="14.1" customHeight="1">
      <c r="D647" s="198"/>
      <c r="E647" s="578" t="s">
        <v>360</v>
      </c>
      <c r="F647" s="105"/>
      <c r="G647" s="125"/>
      <c r="H647" s="144"/>
      <c r="I647" s="144"/>
      <c r="J647" s="144"/>
      <c r="K647" s="144"/>
      <c r="L647" s="131"/>
      <c r="M647" s="132"/>
      <c r="N647" s="50"/>
      <c r="O647" s="50"/>
      <c r="P647" s="50"/>
    </row>
    <row r="648" spans="4:37" ht="17.25" customHeight="1">
      <c r="D648" s="203"/>
      <c r="E648" s="144"/>
      <c r="F648" s="125"/>
      <c r="G648" s="125"/>
      <c r="H648" s="144"/>
      <c r="I648" s="144"/>
      <c r="J648" s="144"/>
      <c r="K648" s="144"/>
      <c r="L648" s="131"/>
      <c r="M648" s="132"/>
      <c r="N648" s="50"/>
      <c r="O648" s="50"/>
      <c r="P648" s="50"/>
    </row>
    <row r="649" spans="4:37" ht="18" customHeight="1">
      <c r="D649" s="271"/>
      <c r="E649" s="264"/>
      <c r="F649" s="579" t="s">
        <v>517</v>
      </c>
      <c r="G649" s="265"/>
      <c r="H649" s="265"/>
      <c r="I649" s="270" t="s">
        <v>254</v>
      </c>
      <c r="J649" s="267"/>
      <c r="K649" s="267"/>
      <c r="L649" s="331"/>
      <c r="M649" s="178"/>
      <c r="N649" s="170"/>
      <c r="O649" s="170"/>
      <c r="P649" s="170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</row>
    <row r="650" spans="4:37" ht="6.75" customHeight="1">
      <c r="D650" s="198"/>
      <c r="E650" s="172"/>
      <c r="F650" s="123"/>
      <c r="G650" s="125"/>
      <c r="H650" s="131"/>
      <c r="I650" s="131"/>
      <c r="J650" s="131"/>
      <c r="K650" s="131"/>
      <c r="L650" s="131"/>
      <c r="M650" s="132"/>
      <c r="N650" s="50"/>
      <c r="O650" s="50"/>
      <c r="P650" s="50"/>
    </row>
    <row r="651" spans="4:37" ht="15">
      <c r="D651" s="198"/>
      <c r="E651" s="581" t="s">
        <v>208</v>
      </c>
      <c r="F651" s="105"/>
      <c r="G651" s="125"/>
      <c r="H651" s="131"/>
      <c r="I651" s="131"/>
      <c r="J651" s="131"/>
      <c r="K651" s="131"/>
      <c r="L651" s="131"/>
      <c r="M651" s="132"/>
      <c r="N651" s="50"/>
      <c r="O651" s="50"/>
      <c r="P651" s="50"/>
    </row>
    <row r="652" spans="4:37" ht="14.1" customHeight="1">
      <c r="D652" s="198"/>
      <c r="E652" s="580" t="s">
        <v>240</v>
      </c>
      <c r="F652" s="105"/>
      <c r="G652" s="125"/>
      <c r="H652" s="131"/>
      <c r="I652" s="131"/>
      <c r="J652" s="131"/>
      <c r="K652" s="131"/>
      <c r="L652" s="131"/>
      <c r="M652" s="132"/>
      <c r="N652" s="50"/>
      <c r="O652" s="50"/>
      <c r="P652" s="50"/>
    </row>
    <row r="653" spans="4:37" ht="14.1" customHeight="1">
      <c r="D653" s="198"/>
      <c r="E653" s="580" t="s">
        <v>361</v>
      </c>
      <c r="F653" s="105"/>
      <c r="G653" s="125"/>
      <c r="H653" s="131"/>
      <c r="I653" s="131"/>
      <c r="J653" s="131"/>
      <c r="K653" s="131"/>
      <c r="L653" s="131"/>
      <c r="M653" s="132"/>
      <c r="N653" s="50"/>
      <c r="O653" s="50"/>
      <c r="P653" s="50"/>
    </row>
    <row r="654" spans="4:37" ht="14.1" customHeight="1">
      <c r="D654" s="198"/>
      <c r="E654" s="580" t="s">
        <v>362</v>
      </c>
      <c r="F654" s="105"/>
      <c r="G654" s="125"/>
      <c r="H654" s="131"/>
      <c r="I654" s="131"/>
      <c r="J654" s="131"/>
      <c r="K654" s="131"/>
      <c r="L654" s="131"/>
      <c r="M654" s="132"/>
      <c r="N654" s="50"/>
      <c r="O654" s="50"/>
      <c r="P654" s="50"/>
    </row>
    <row r="655" spans="4:37" ht="17.25" customHeight="1">
      <c r="D655" s="208"/>
      <c r="E655" s="131"/>
      <c r="F655" s="125"/>
      <c r="G655" s="125"/>
      <c r="H655" s="131"/>
      <c r="I655" s="131"/>
      <c r="J655" s="131"/>
      <c r="K655" s="131"/>
      <c r="L655" s="131"/>
      <c r="M655" s="132"/>
      <c r="N655" s="50"/>
      <c r="O655" s="50"/>
      <c r="P655" s="50"/>
    </row>
    <row r="656" spans="4:37" ht="18" customHeight="1">
      <c r="D656" s="271"/>
      <c r="E656" s="264"/>
      <c r="F656" s="579" t="s">
        <v>518</v>
      </c>
      <c r="G656" s="265"/>
      <c r="H656" s="265"/>
      <c r="I656" s="273"/>
      <c r="J656" s="267" t="s">
        <v>253</v>
      </c>
      <c r="K656" s="267"/>
      <c r="L656" s="331"/>
      <c r="M656" s="132"/>
      <c r="N656" s="50"/>
      <c r="O656" s="50"/>
      <c r="P656" s="50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</row>
    <row r="657" spans="4:37" ht="6" customHeight="1">
      <c r="D657" s="198"/>
      <c r="E657" s="172"/>
      <c r="F657" s="123"/>
      <c r="G657" s="125"/>
      <c r="H657" s="131"/>
      <c r="I657" s="131"/>
      <c r="J657" s="131"/>
      <c r="K657" s="131"/>
      <c r="L657" s="131"/>
      <c r="M657" s="132"/>
      <c r="N657" s="50"/>
      <c r="O657" s="50"/>
      <c r="P657" s="50"/>
    </row>
    <row r="658" spans="4:37" ht="15">
      <c r="D658" s="198"/>
      <c r="E658" s="581" t="s">
        <v>208</v>
      </c>
      <c r="F658" s="105"/>
      <c r="G658" s="125"/>
      <c r="H658" s="131"/>
      <c r="I658" s="131"/>
      <c r="J658" s="131"/>
      <c r="K658" s="131"/>
      <c r="L658" s="131"/>
      <c r="M658" s="132"/>
      <c r="N658" s="50"/>
      <c r="O658" s="50"/>
      <c r="P658" s="50"/>
    </row>
    <row r="659" spans="4:37" ht="15">
      <c r="D659" s="198"/>
      <c r="E659" s="580" t="s">
        <v>53</v>
      </c>
      <c r="F659" s="105"/>
      <c r="G659" s="125"/>
      <c r="H659" s="131"/>
      <c r="I659" s="131"/>
      <c r="J659" s="131"/>
      <c r="K659" s="131"/>
      <c r="L659" s="131"/>
      <c r="M659" s="132"/>
      <c r="N659" s="50"/>
      <c r="O659" s="50"/>
      <c r="P659" s="50"/>
    </row>
    <row r="660" spans="4:37" ht="15">
      <c r="D660" s="198"/>
      <c r="E660" s="124" t="s">
        <v>54</v>
      </c>
      <c r="F660" s="105"/>
      <c r="G660" s="125"/>
      <c r="H660" s="131"/>
      <c r="I660" s="131"/>
      <c r="J660" s="131"/>
      <c r="K660" s="131"/>
      <c r="L660" s="131"/>
      <c r="M660" s="132"/>
      <c r="N660" s="50"/>
      <c r="O660" s="50"/>
      <c r="P660" s="50"/>
    </row>
    <row r="661" spans="4:37" ht="17.25" customHeight="1">
      <c r="D661" s="208"/>
      <c r="E661" s="131"/>
      <c r="F661" s="125"/>
      <c r="G661" s="125"/>
      <c r="H661" s="131"/>
      <c r="I661" s="131"/>
      <c r="J661" s="131"/>
      <c r="K661" s="131"/>
      <c r="L661" s="131"/>
      <c r="M661" s="132"/>
      <c r="N661" s="50"/>
      <c r="O661" s="50"/>
      <c r="P661" s="50"/>
    </row>
    <row r="662" spans="4:37" ht="18" customHeight="1">
      <c r="D662" s="271"/>
      <c r="E662" s="264"/>
      <c r="F662" s="579" t="s">
        <v>234</v>
      </c>
      <c r="G662" s="265"/>
      <c r="H662" s="265"/>
      <c r="I662" s="270" t="s">
        <v>235</v>
      </c>
      <c r="J662" s="267"/>
      <c r="K662" s="267"/>
      <c r="L662" s="331"/>
      <c r="M662" s="178"/>
      <c r="N662" s="170"/>
      <c r="O662" s="170"/>
      <c r="P662" s="170"/>
      <c r="Q662" s="74"/>
      <c r="R662" s="74"/>
      <c r="S662" s="74"/>
      <c r="T662" s="74"/>
      <c r="U662" s="74"/>
      <c r="V662" s="74"/>
      <c r="W662" s="74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  <c r="AI662" s="74"/>
      <c r="AJ662" s="74"/>
      <c r="AK662" s="74"/>
    </row>
    <row r="663" spans="4:37" ht="21.75" customHeight="1">
      <c r="D663" s="198"/>
      <c r="E663" s="581" t="s">
        <v>208</v>
      </c>
      <c r="F663" s="105"/>
      <c r="G663" s="125"/>
      <c r="H663" s="131"/>
      <c r="I663" s="131"/>
      <c r="J663" s="131"/>
      <c r="K663" s="131"/>
      <c r="L663" s="131"/>
      <c r="M663" s="132"/>
      <c r="N663" s="50"/>
      <c r="O663" s="50"/>
      <c r="P663" s="50"/>
    </row>
    <row r="664" spans="4:37" ht="14.1" customHeight="1">
      <c r="D664" s="198"/>
      <c r="E664" s="580" t="s">
        <v>164</v>
      </c>
      <c r="F664" s="105"/>
      <c r="G664" s="125"/>
      <c r="H664" s="131"/>
      <c r="I664" s="131"/>
      <c r="J664" s="131"/>
      <c r="K664" s="131"/>
      <c r="L664" s="131"/>
      <c r="M664" s="132"/>
      <c r="N664" s="50"/>
      <c r="O664" s="50"/>
      <c r="P664" s="50"/>
    </row>
    <row r="665" spans="4:37" ht="14.1" customHeight="1">
      <c r="D665" s="198"/>
      <c r="E665" s="124" t="s">
        <v>476</v>
      </c>
      <c r="F665" s="105"/>
      <c r="G665" s="125"/>
      <c r="H665" s="131"/>
      <c r="I665" s="131"/>
      <c r="J665" s="131"/>
      <c r="K665" s="131"/>
      <c r="L665" s="131"/>
      <c r="M665" s="132"/>
      <c r="N665" s="50"/>
      <c r="O665" s="50"/>
      <c r="P665" s="50"/>
    </row>
    <row r="666" spans="4:37" ht="14.1" customHeight="1">
      <c r="D666" s="198"/>
      <c r="E666" s="124" t="s">
        <v>477</v>
      </c>
      <c r="F666" s="105"/>
      <c r="G666" s="125"/>
      <c r="H666" s="131"/>
      <c r="I666" s="131"/>
      <c r="J666" s="131"/>
      <c r="K666" s="131"/>
      <c r="L666" s="131"/>
      <c r="M666" s="132"/>
      <c r="N666" s="50"/>
      <c r="O666" s="50"/>
      <c r="P666" s="50"/>
    </row>
    <row r="667" spans="4:37" ht="14.1" customHeight="1">
      <c r="D667" s="198"/>
      <c r="E667" s="124" t="s">
        <v>363</v>
      </c>
      <c r="F667" s="105"/>
      <c r="G667" s="125"/>
      <c r="H667" s="131"/>
      <c r="I667" s="131"/>
      <c r="J667" s="131"/>
      <c r="K667" s="131"/>
      <c r="L667" s="131"/>
      <c r="M667" s="132"/>
      <c r="N667" s="50"/>
      <c r="O667" s="50"/>
      <c r="P667" s="50"/>
    </row>
    <row r="668" spans="4:37" ht="14.1" customHeight="1">
      <c r="D668" s="198"/>
      <c r="E668" s="124" t="s">
        <v>364</v>
      </c>
      <c r="F668" s="105"/>
      <c r="G668" s="125"/>
      <c r="H668" s="131"/>
      <c r="I668" s="131"/>
      <c r="J668" s="131"/>
      <c r="K668" s="131"/>
      <c r="L668" s="131"/>
      <c r="M668" s="132"/>
      <c r="N668" s="50"/>
      <c r="O668" s="50"/>
      <c r="P668" s="50"/>
    </row>
    <row r="669" spans="4:37" ht="14.1" customHeight="1">
      <c r="D669" s="198"/>
      <c r="E669" s="124" t="s">
        <v>163</v>
      </c>
      <c r="F669" s="105"/>
      <c r="G669" s="125"/>
      <c r="H669" s="131"/>
      <c r="I669" s="131"/>
      <c r="J669" s="131"/>
      <c r="K669" s="131"/>
      <c r="L669" s="131"/>
      <c r="M669" s="132"/>
      <c r="N669" s="50"/>
      <c r="O669" s="50"/>
      <c r="P669" s="50"/>
    </row>
    <row r="670" spans="4:37" ht="17.25" customHeight="1">
      <c r="D670" s="198"/>
      <c r="E670" s="131"/>
      <c r="F670" s="125"/>
      <c r="G670" s="125"/>
      <c r="H670" s="131"/>
      <c r="I670" s="131"/>
      <c r="J670" s="131"/>
      <c r="K670" s="131"/>
      <c r="L670" s="131"/>
      <c r="M670" s="132"/>
      <c r="N670" s="50"/>
      <c r="O670" s="50"/>
      <c r="P670" s="50"/>
    </row>
    <row r="671" spans="4:37" ht="18" customHeight="1">
      <c r="D671" s="271"/>
      <c r="E671" s="264"/>
      <c r="F671" s="579" t="s">
        <v>236</v>
      </c>
      <c r="G671" s="265"/>
      <c r="H671" s="265"/>
      <c r="I671" s="270" t="s">
        <v>237</v>
      </c>
      <c r="J671" s="267"/>
      <c r="K671" s="267"/>
      <c r="L671" s="331"/>
      <c r="M671" s="178"/>
      <c r="N671" s="170"/>
      <c r="O671" s="170"/>
      <c r="P671" s="170"/>
      <c r="Q671" s="74"/>
      <c r="R671" s="74"/>
      <c r="S671" s="74"/>
      <c r="T671" s="74"/>
      <c r="U671" s="74"/>
      <c r="V671" s="74"/>
      <c r="W671" s="74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  <c r="AI671" s="74"/>
      <c r="AJ671" s="74"/>
      <c r="AK671" s="74"/>
    </row>
    <row r="672" spans="4:37" ht="21.75" customHeight="1">
      <c r="D672" s="198"/>
      <c r="E672" s="581" t="s">
        <v>208</v>
      </c>
      <c r="F672" s="105"/>
      <c r="G672" s="125"/>
      <c r="H672" s="131"/>
      <c r="I672" s="131"/>
      <c r="J672" s="131"/>
      <c r="K672" s="131"/>
      <c r="L672" s="131"/>
      <c r="M672" s="132"/>
      <c r="N672" s="50"/>
      <c r="O672" s="50"/>
      <c r="P672" s="50"/>
    </row>
    <row r="673" spans="4:16" ht="14.1" customHeight="1">
      <c r="D673" s="198"/>
      <c r="E673" s="580" t="s">
        <v>165</v>
      </c>
      <c r="F673" s="105"/>
      <c r="G673" s="125"/>
      <c r="H673" s="131"/>
      <c r="I673" s="131"/>
      <c r="J673" s="131"/>
      <c r="K673" s="131"/>
      <c r="L673" s="131"/>
      <c r="M673" s="132"/>
      <c r="N673" s="50"/>
      <c r="O673" s="50"/>
      <c r="P673" s="50"/>
    </row>
    <row r="674" spans="4:16" ht="14.1" customHeight="1">
      <c r="D674" s="198"/>
      <c r="E674" s="600" t="s">
        <v>365</v>
      </c>
      <c r="F674" s="105"/>
      <c r="G674" s="125"/>
      <c r="H674" s="131"/>
      <c r="I674" s="131"/>
      <c r="J674" s="131"/>
      <c r="K674" s="131"/>
      <c r="L674" s="131"/>
      <c r="M674" s="132"/>
      <c r="N674" s="50"/>
      <c r="O674" s="50"/>
      <c r="P674" s="50"/>
    </row>
    <row r="675" spans="4:16" ht="14.1" customHeight="1">
      <c r="D675" s="198"/>
      <c r="E675" s="600" t="s">
        <v>366</v>
      </c>
      <c r="F675" s="105"/>
      <c r="G675" s="125"/>
      <c r="H675" s="131"/>
      <c r="I675" s="131"/>
      <c r="J675" s="131"/>
      <c r="K675" s="131"/>
      <c r="L675" s="131"/>
      <c r="M675" s="132"/>
      <c r="N675" s="50"/>
      <c r="O675" s="50"/>
      <c r="P675" s="50"/>
    </row>
    <row r="676" spans="4:16" ht="17.25" customHeight="1">
      <c r="D676" s="206"/>
      <c r="E676" s="100"/>
      <c r="F676" s="100"/>
      <c r="G676" s="100"/>
      <c r="H676" s="100"/>
      <c r="I676" s="100"/>
      <c r="J676" s="100"/>
      <c r="K676" s="100"/>
      <c r="L676" s="100"/>
      <c r="M676" s="146"/>
      <c r="N676" s="50"/>
      <c r="O676" s="50"/>
      <c r="P676" s="50"/>
    </row>
    <row r="677" spans="4:16"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</row>
    <row r="678" spans="4:16"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</row>
    <row r="679" spans="4:16"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</row>
    <row r="680" spans="4:16"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</row>
    <row r="681" spans="4:16"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</row>
    <row r="682" spans="4:16"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</row>
    <row r="683" spans="4:16"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</row>
    <row r="684" spans="4:16"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</row>
    <row r="685" spans="4:16"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</row>
    <row r="686" spans="4:16"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</row>
    <row r="687" spans="4:16"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</row>
    <row r="688" spans="4:16"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</row>
    <row r="689" spans="4:16"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</row>
    <row r="690" spans="4:16"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</row>
    <row r="691" spans="4:16"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</row>
    <row r="692" spans="4:16"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</row>
    <row r="693" spans="4:16"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</row>
    <row r="694" spans="4:16"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</row>
    <row r="695" spans="4:16"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</row>
    <row r="696" spans="4:16"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</row>
    <row r="697" spans="4:16"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</row>
    <row r="698" spans="4:16"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</row>
    <row r="699" spans="4:16"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</row>
    <row r="700" spans="4:16"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</row>
    <row r="701" spans="4:16"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</row>
    <row r="702" spans="4:16"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</row>
    <row r="703" spans="4:16"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</row>
    <row r="704" spans="4:16"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</row>
    <row r="705" spans="4:16"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</row>
    <row r="706" spans="4:16" ht="3" customHeight="1"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</row>
    <row r="707" spans="4:16" ht="3" customHeight="1"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</row>
    <row r="708" spans="4:16" ht="3" customHeight="1"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</row>
    <row r="709" spans="4:16" ht="3" customHeight="1"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</row>
    <row r="710" spans="4:16" ht="3" customHeight="1"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</row>
    <row r="711" spans="4:16" ht="3" customHeight="1"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</row>
    <row r="712" spans="4:16" ht="3" customHeight="1"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</row>
    <row r="713" spans="4:16" ht="3" customHeight="1"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</row>
    <row r="714" spans="4:16" ht="3" customHeight="1"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</row>
    <row r="715" spans="4:16" ht="3" customHeight="1"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</row>
    <row r="716" spans="4:16" ht="3" customHeight="1"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</row>
    <row r="717" spans="4:16" ht="3" customHeight="1"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</row>
    <row r="718" spans="4:16">
      <c r="D718" s="642"/>
      <c r="E718" s="643"/>
      <c r="F718" s="643"/>
      <c r="G718" s="643"/>
      <c r="H718" s="643"/>
      <c r="I718" s="643"/>
      <c r="J718" s="643"/>
      <c r="K718" s="643"/>
      <c r="L718" s="644"/>
      <c r="M718" s="50"/>
      <c r="N718" s="50"/>
      <c r="O718" s="50"/>
      <c r="P718" s="50"/>
    </row>
    <row r="719" spans="4:16">
      <c r="D719" s="645"/>
      <c r="E719" s="101"/>
      <c r="F719" s="101"/>
      <c r="G719" s="101"/>
      <c r="H719" s="101"/>
      <c r="I719" s="101"/>
      <c r="J719" s="101"/>
      <c r="K719" s="101"/>
      <c r="L719" s="646"/>
      <c r="M719" s="50"/>
      <c r="N719" s="50"/>
      <c r="O719" s="50"/>
      <c r="P719" s="50"/>
    </row>
    <row r="720" spans="4:16">
      <c r="D720" s="645"/>
      <c r="E720" s="101"/>
      <c r="F720" s="101"/>
      <c r="G720" s="101"/>
      <c r="H720" s="101"/>
      <c r="I720" s="101"/>
      <c r="J720" s="101"/>
      <c r="K720" s="101"/>
      <c r="L720" s="646"/>
      <c r="M720" s="50"/>
      <c r="N720" s="50"/>
      <c r="O720" s="50"/>
      <c r="P720" s="50"/>
    </row>
    <row r="721" spans="4:16">
      <c r="D721" s="645"/>
      <c r="E721" s="101"/>
      <c r="F721" s="101"/>
      <c r="G721" s="101"/>
      <c r="H721" s="101"/>
      <c r="I721" s="101"/>
      <c r="J721" s="101"/>
      <c r="K721" s="101"/>
      <c r="L721" s="646"/>
      <c r="M721" s="50"/>
      <c r="N721" s="50"/>
      <c r="O721" s="50"/>
      <c r="P721" s="50"/>
    </row>
    <row r="722" spans="4:16">
      <c r="D722" s="645"/>
      <c r="E722" s="101"/>
      <c r="F722" s="101"/>
      <c r="G722" s="101"/>
      <c r="H722" s="101"/>
      <c r="I722" s="101"/>
      <c r="J722" s="101"/>
      <c r="K722" s="101"/>
      <c r="L722" s="646"/>
      <c r="M722" s="50"/>
      <c r="N722" s="50"/>
      <c r="O722" s="50"/>
      <c r="P722" s="50"/>
    </row>
    <row r="723" spans="4:16">
      <c r="D723" s="645"/>
      <c r="E723" s="101"/>
      <c r="F723" s="101"/>
      <c r="G723" s="101"/>
      <c r="H723" s="101"/>
      <c r="I723" s="101"/>
      <c r="J723" s="101"/>
      <c r="K723" s="101"/>
      <c r="L723" s="646"/>
      <c r="M723" s="50"/>
      <c r="N723" s="50"/>
      <c r="O723" s="50"/>
      <c r="P723" s="50"/>
    </row>
    <row r="724" spans="4:16">
      <c r="D724" s="645"/>
      <c r="E724" s="101"/>
      <c r="F724" s="101"/>
      <c r="G724" s="101"/>
      <c r="H724" s="101"/>
      <c r="I724" s="101"/>
      <c r="J724" s="101"/>
      <c r="K724" s="101"/>
      <c r="L724" s="646"/>
      <c r="M724" s="50"/>
      <c r="N724" s="50"/>
      <c r="O724" s="50"/>
      <c r="P724" s="50"/>
    </row>
    <row r="725" spans="4:16">
      <c r="D725" s="645"/>
      <c r="E725" s="101"/>
      <c r="F725" s="101"/>
      <c r="G725" s="101"/>
      <c r="H725" s="101"/>
      <c r="I725" s="101"/>
      <c r="J725" s="101"/>
      <c r="K725" s="101"/>
      <c r="L725" s="646"/>
      <c r="M725" s="50"/>
      <c r="N725" s="50"/>
      <c r="O725" s="50"/>
      <c r="P725" s="50"/>
    </row>
    <row r="726" spans="4:16">
      <c r="D726" s="645"/>
      <c r="E726" s="101"/>
      <c r="F726" s="101"/>
      <c r="G726" s="101"/>
      <c r="H726" s="101"/>
      <c r="I726" s="101"/>
      <c r="J726" s="101"/>
      <c r="K726" s="101"/>
      <c r="L726" s="646"/>
      <c r="M726" s="50"/>
      <c r="N726" s="50"/>
      <c r="O726" s="50"/>
      <c r="P726" s="50"/>
    </row>
    <row r="727" spans="4:16">
      <c r="D727" s="645"/>
      <c r="E727" s="101"/>
      <c r="F727" s="101"/>
      <c r="G727" s="101"/>
      <c r="H727" s="101"/>
      <c r="I727" s="101"/>
      <c r="J727" s="101"/>
      <c r="K727" s="101"/>
      <c r="L727" s="646"/>
      <c r="M727" s="50"/>
      <c r="N727" s="50"/>
      <c r="O727" s="50"/>
      <c r="P727" s="50"/>
    </row>
    <row r="728" spans="4:16">
      <c r="D728" s="645"/>
      <c r="E728" s="101"/>
      <c r="F728" s="101"/>
      <c r="G728" s="101"/>
      <c r="H728" s="101"/>
      <c r="I728" s="101"/>
      <c r="J728" s="101"/>
      <c r="K728" s="101"/>
      <c r="L728" s="646"/>
      <c r="M728" s="50"/>
      <c r="N728" s="50"/>
      <c r="O728" s="50"/>
      <c r="P728" s="50"/>
    </row>
    <row r="729" spans="4:16">
      <c r="D729" s="645"/>
      <c r="E729" s="101"/>
      <c r="F729" s="101"/>
      <c r="G729" s="101"/>
      <c r="H729" s="101"/>
      <c r="I729" s="101"/>
      <c r="J729" s="101"/>
      <c r="K729" s="101"/>
      <c r="L729" s="646"/>
      <c r="M729" s="50"/>
      <c r="N729" s="50"/>
      <c r="O729" s="50"/>
      <c r="P729" s="50"/>
    </row>
    <row r="730" spans="4:16">
      <c r="D730" s="645"/>
      <c r="E730" s="101"/>
      <c r="F730" s="101"/>
      <c r="G730" s="101"/>
      <c r="H730" s="101"/>
      <c r="I730" s="101"/>
      <c r="J730" s="101"/>
      <c r="K730" s="101"/>
      <c r="L730" s="646"/>
      <c r="M730" s="50"/>
      <c r="N730" s="50"/>
      <c r="O730" s="50"/>
      <c r="P730" s="50"/>
    </row>
    <row r="731" spans="4:16">
      <c r="D731" s="645"/>
      <c r="E731" s="101"/>
      <c r="F731" s="101"/>
      <c r="G731" s="101"/>
      <c r="H731" s="101"/>
      <c r="I731" s="101"/>
      <c r="J731" s="101"/>
      <c r="K731" s="101"/>
      <c r="L731" s="646"/>
      <c r="M731" s="50"/>
      <c r="N731" s="50"/>
      <c r="O731" s="50"/>
      <c r="P731" s="50"/>
    </row>
    <row r="732" spans="4:16">
      <c r="D732" s="645"/>
      <c r="E732" s="101"/>
      <c r="F732" s="101"/>
      <c r="G732" s="101"/>
      <c r="H732" s="101"/>
      <c r="I732" s="101"/>
      <c r="J732" s="101"/>
      <c r="K732" s="101"/>
      <c r="L732" s="646"/>
      <c r="M732" s="50"/>
      <c r="N732" s="50"/>
      <c r="O732" s="50"/>
      <c r="P732" s="50"/>
    </row>
    <row r="733" spans="4:16">
      <c r="D733" s="645"/>
      <c r="E733" s="101"/>
      <c r="F733" s="101"/>
      <c r="G733" s="101"/>
      <c r="H733" s="101"/>
      <c r="I733" s="101"/>
      <c r="J733" s="101"/>
      <c r="K733" s="101"/>
      <c r="L733" s="646"/>
      <c r="M733" s="50"/>
      <c r="N733" s="50"/>
      <c r="O733" s="50"/>
      <c r="P733" s="50"/>
    </row>
    <row r="734" spans="4:16">
      <c r="D734" s="645"/>
      <c r="E734" s="101"/>
      <c r="F734" s="101"/>
      <c r="G734" s="101"/>
      <c r="H734" s="101"/>
      <c r="I734" s="101"/>
      <c r="J734" s="101"/>
      <c r="K734" s="101"/>
      <c r="L734" s="646"/>
      <c r="M734" s="50"/>
      <c r="N734" s="50"/>
      <c r="O734" s="50"/>
      <c r="P734" s="50"/>
    </row>
    <row r="735" spans="4:16">
      <c r="D735" s="645"/>
      <c r="E735" s="101"/>
      <c r="F735" s="101"/>
      <c r="G735" s="101"/>
      <c r="H735" s="101"/>
      <c r="I735" s="101"/>
      <c r="J735" s="101"/>
      <c r="K735" s="101"/>
      <c r="L735" s="646"/>
      <c r="M735" s="50"/>
      <c r="N735" s="50"/>
      <c r="O735" s="50"/>
      <c r="P735" s="50"/>
    </row>
    <row r="736" spans="4:16">
      <c r="D736" s="645"/>
      <c r="E736" s="101"/>
      <c r="F736" s="101"/>
      <c r="G736" s="101"/>
      <c r="H736" s="101"/>
      <c r="I736" s="101"/>
      <c r="J736" s="101"/>
      <c r="K736" s="101"/>
      <c r="L736" s="646"/>
      <c r="M736" s="50"/>
      <c r="N736" s="50"/>
      <c r="O736" s="50"/>
      <c r="P736" s="50"/>
    </row>
    <row r="737" spans="4:16">
      <c r="D737" s="645"/>
      <c r="E737" s="101"/>
      <c r="F737" s="101"/>
      <c r="G737" s="101"/>
      <c r="H737" s="101"/>
      <c r="I737" s="101"/>
      <c r="J737" s="101"/>
      <c r="K737" s="101"/>
      <c r="L737" s="646"/>
      <c r="M737" s="50"/>
      <c r="N737" s="50"/>
      <c r="O737" s="50"/>
      <c r="P737" s="50"/>
    </row>
    <row r="738" spans="4:16">
      <c r="D738" s="645"/>
      <c r="E738" s="101"/>
      <c r="F738" s="101"/>
      <c r="G738" s="101"/>
      <c r="H738" s="101"/>
      <c r="I738" s="101"/>
      <c r="J738" s="101"/>
      <c r="K738" s="101"/>
      <c r="L738" s="646"/>
      <c r="M738" s="50"/>
      <c r="N738" s="50"/>
      <c r="O738" s="50"/>
      <c r="P738" s="50"/>
    </row>
    <row r="739" spans="4:16">
      <c r="D739" s="645"/>
      <c r="E739" s="101"/>
      <c r="F739" s="101"/>
      <c r="G739" s="101"/>
      <c r="H739" s="101"/>
      <c r="I739" s="101"/>
      <c r="J739" s="101"/>
      <c r="K739" s="101"/>
      <c r="L739" s="646"/>
      <c r="M739" s="50"/>
      <c r="N739" s="50"/>
      <c r="O739" s="50"/>
      <c r="P739" s="50"/>
    </row>
    <row r="740" spans="4:16" ht="6.9" customHeight="1">
      <c r="D740" s="645"/>
      <c r="E740" s="101"/>
      <c r="F740" s="101"/>
      <c r="G740" s="101"/>
      <c r="H740" s="101"/>
      <c r="I740" s="101"/>
      <c r="J740" s="101"/>
      <c r="K740" s="101"/>
      <c r="L740" s="646"/>
      <c r="M740" s="50"/>
      <c r="N740" s="50"/>
      <c r="O740" s="50"/>
      <c r="P740" s="50"/>
    </row>
    <row r="741" spans="4:16" ht="6.9" customHeight="1">
      <c r="D741" s="645"/>
      <c r="E741" s="101"/>
      <c r="F741" s="101"/>
      <c r="G741" s="101"/>
      <c r="H741" s="101"/>
      <c r="I741" s="101"/>
      <c r="J741" s="101"/>
      <c r="K741" s="101"/>
      <c r="L741" s="646"/>
      <c r="M741" s="50"/>
      <c r="N741" s="50"/>
      <c r="O741" s="50"/>
      <c r="P741" s="50"/>
    </row>
    <row r="742" spans="4:16">
      <c r="D742" s="645"/>
      <c r="E742" s="101"/>
      <c r="F742" s="101"/>
      <c r="G742" s="101"/>
      <c r="H742" s="101"/>
      <c r="I742" s="101"/>
      <c r="J742" s="101"/>
      <c r="K742" s="101"/>
      <c r="L742" s="646"/>
      <c r="M742" s="50"/>
      <c r="N742" s="50"/>
      <c r="O742" s="50"/>
      <c r="P742" s="50"/>
    </row>
    <row r="743" spans="4:16" ht="20.100000000000001" customHeight="1">
      <c r="D743" s="647"/>
      <c r="E743" s="648"/>
      <c r="F743" s="648"/>
      <c r="G743" s="648"/>
      <c r="H743" s="648"/>
      <c r="I743" s="648"/>
      <c r="J743" s="648"/>
      <c r="K743" s="648"/>
      <c r="L743" s="649"/>
      <c r="M743" s="50"/>
      <c r="N743" s="50"/>
      <c r="O743" s="50"/>
      <c r="P743" s="50"/>
    </row>
    <row r="744" spans="4:16"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</row>
    <row r="745" spans="4:16"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</row>
    <row r="746" spans="4:16"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</row>
    <row r="747" spans="4:16"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</row>
    <row r="748" spans="4:16"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</row>
    <row r="749" spans="4:16"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</row>
    <row r="750" spans="4:16"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</row>
    <row r="751" spans="4:16"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</row>
    <row r="752" spans="4:16"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</row>
    <row r="753" spans="4:16"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</row>
    <row r="754" spans="4:16"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</row>
    <row r="755" spans="4:16"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</row>
    <row r="756" spans="4:16"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</row>
    <row r="757" spans="4:16"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</row>
    <row r="758" spans="4:16"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</row>
    <row r="759" spans="4:16"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</row>
    <row r="760" spans="4:16"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</row>
    <row r="761" spans="4:16"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</row>
    <row r="762" spans="4:16"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</row>
    <row r="763" spans="4:16"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</row>
    <row r="764" spans="4:16"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</row>
    <row r="765" spans="4:16"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</row>
    <row r="766" spans="4:16"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</row>
    <row r="767" spans="4:16"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</row>
    <row r="768" spans="4:16"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</row>
    <row r="769" spans="4:16"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</row>
    <row r="770" spans="4:16"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</row>
    <row r="771" spans="4:16"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</row>
    <row r="772" spans="4:16"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</row>
    <row r="773" spans="4:16"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</row>
    <row r="774" spans="4:16"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</row>
    <row r="775" spans="4:16"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</row>
    <row r="776" spans="4:16"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</row>
    <row r="777" spans="4:16"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</row>
    <row r="778" spans="4:16"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</row>
    <row r="779" spans="4:16"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</row>
    <row r="780" spans="4:16"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</row>
    <row r="781" spans="4:16"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</row>
    <row r="782" spans="4:16"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</row>
    <row r="783" spans="4:16"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</row>
    <row r="784" spans="4:16"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</row>
    <row r="785" spans="4:16"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</row>
    <row r="786" spans="4:16"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</row>
    <row r="787" spans="4:16"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</row>
    <row r="788" spans="4:16"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</row>
    <row r="789" spans="4:16"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</row>
    <row r="790" spans="4:16"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</row>
    <row r="791" spans="4:16"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</row>
    <row r="792" spans="4:16"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</row>
    <row r="793" spans="4:16"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</row>
    <row r="794" spans="4:16"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</row>
    <row r="795" spans="4:16"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</row>
    <row r="796" spans="4:16"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</row>
    <row r="797" spans="4:16"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</row>
    <row r="798" spans="4:16"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</row>
    <row r="799" spans="4:16"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</row>
    <row r="800" spans="4:16"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</row>
    <row r="801" spans="4:16"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</row>
    <row r="802" spans="4:16"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</row>
    <row r="803" spans="4:16"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</row>
    <row r="804" spans="4:16"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</row>
    <row r="805" spans="4:16"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</row>
    <row r="806" spans="4:16"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</row>
    <row r="807" spans="4:16"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</row>
    <row r="808" spans="4:16"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</row>
    <row r="809" spans="4:16"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</row>
    <row r="810" spans="4:16"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</row>
    <row r="811" spans="4:16"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</row>
    <row r="812" spans="4:16"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</row>
    <row r="813" spans="4:16"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</row>
    <row r="814" spans="4:16"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</row>
    <row r="815" spans="4:16"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</row>
    <row r="816" spans="4:16"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</row>
    <row r="817" spans="4:16"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</row>
    <row r="818" spans="4:16"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</row>
    <row r="819" spans="4:16"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</row>
    <row r="820" spans="4:16"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</row>
    <row r="821" spans="4:16"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</row>
    <row r="822" spans="4:16"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</row>
    <row r="823" spans="4:16"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</row>
    <row r="824" spans="4:16"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</row>
    <row r="825" spans="4:16"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</row>
    <row r="826" spans="4:16"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</row>
    <row r="827" spans="4:16"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</row>
    <row r="828" spans="4:16"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</row>
    <row r="829" spans="4:16"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</row>
    <row r="830" spans="4:16"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</row>
    <row r="831" spans="4:16"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</row>
    <row r="832" spans="4:16"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</row>
    <row r="833" spans="4:16"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</row>
    <row r="834" spans="4:16"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</row>
    <row r="835" spans="4:16"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</row>
    <row r="836" spans="4:16"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</row>
    <row r="837" spans="4:16"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</row>
    <row r="838" spans="4:16"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</row>
    <row r="839" spans="4:16"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</row>
    <row r="840" spans="4:16"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</row>
    <row r="841" spans="4:16"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</row>
    <row r="842" spans="4:16"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</row>
    <row r="843" spans="4:16"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</row>
    <row r="844" spans="4:16"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</row>
    <row r="845" spans="4:16"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</row>
    <row r="846" spans="4:16"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</row>
    <row r="847" spans="4:16"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</row>
    <row r="848" spans="4:16"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</row>
    <row r="849" spans="3:37"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</row>
    <row r="850" spans="3:37"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</row>
    <row r="851" spans="3:37"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</row>
    <row r="852" spans="3:37" ht="9.9" customHeight="1" thickBot="1"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</row>
    <row r="853" spans="3:37" ht="24.9" customHeight="1" thickBot="1">
      <c r="C853" s="727" t="s">
        <v>390</v>
      </c>
      <c r="D853" s="728"/>
      <c r="E853" s="728"/>
      <c r="F853" s="728"/>
      <c r="G853" s="728"/>
      <c r="H853" s="728"/>
      <c r="I853" s="728"/>
      <c r="J853" s="728"/>
      <c r="K853" s="728"/>
      <c r="L853" s="728"/>
      <c r="M853" s="728"/>
      <c r="N853" s="728"/>
      <c r="O853" s="729"/>
      <c r="P853" s="137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  <c r="AI853" s="76"/>
      <c r="AJ853" s="76"/>
      <c r="AK853" s="76"/>
    </row>
    <row r="854" spans="3:37">
      <c r="C854" s="111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131"/>
      <c r="O854" s="132"/>
      <c r="P854" s="50"/>
    </row>
    <row r="855" spans="3:37" ht="16.8">
      <c r="C855" s="111"/>
      <c r="D855" s="161" t="s">
        <v>200</v>
      </c>
      <c r="E855" s="105"/>
      <c r="F855" s="105"/>
      <c r="G855" s="131"/>
      <c r="H855" s="92"/>
      <c r="I855" s="92"/>
      <c r="J855" s="92"/>
      <c r="K855" s="92"/>
      <c r="L855" s="92"/>
      <c r="M855" s="92"/>
      <c r="N855" s="131"/>
      <c r="O855" s="132"/>
      <c r="P855" s="50"/>
    </row>
    <row r="856" spans="3:37" ht="24.9" customHeight="1">
      <c r="C856" s="111"/>
      <c r="D856" s="161" t="s">
        <v>404</v>
      </c>
      <c r="E856" s="105"/>
      <c r="F856" s="105"/>
      <c r="G856" s="131"/>
      <c r="H856" s="92"/>
      <c r="I856" s="92"/>
      <c r="J856" s="92"/>
      <c r="K856" s="92"/>
      <c r="L856" s="92"/>
      <c r="M856" s="92"/>
      <c r="N856" s="131"/>
      <c r="O856" s="132"/>
      <c r="P856" s="50"/>
    </row>
    <row r="857" spans="3:37" ht="18" customHeight="1">
      <c r="C857" s="111"/>
      <c r="D857" s="510" t="s">
        <v>263</v>
      </c>
      <c r="E857" s="105"/>
      <c r="F857" s="105"/>
      <c r="G857" s="131"/>
      <c r="H857" s="92"/>
      <c r="I857" s="92"/>
      <c r="J857" s="92"/>
      <c r="K857" s="92"/>
      <c r="L857" s="92"/>
      <c r="M857" s="92"/>
      <c r="N857" s="131"/>
      <c r="O857" s="132"/>
      <c r="P857" s="50"/>
    </row>
    <row r="858" spans="3:37" ht="18" customHeight="1">
      <c r="C858" s="111"/>
      <c r="D858" s="510" t="s">
        <v>374</v>
      </c>
      <c r="E858" s="105"/>
      <c r="F858" s="105"/>
      <c r="G858" s="131"/>
      <c r="H858" s="92"/>
      <c r="I858" s="92"/>
      <c r="J858" s="92"/>
      <c r="K858" s="92"/>
      <c r="L858" s="92"/>
      <c r="M858" s="92"/>
      <c r="N858" s="131"/>
      <c r="O858" s="132"/>
      <c r="P858" s="50"/>
    </row>
    <row r="859" spans="3:37" ht="18" customHeight="1">
      <c r="C859" s="111"/>
      <c r="D859" s="510" t="s">
        <v>375</v>
      </c>
      <c r="E859" s="105"/>
      <c r="F859" s="105"/>
      <c r="G859" s="131"/>
      <c r="H859" s="92"/>
      <c r="I859" s="92"/>
      <c r="J859" s="92"/>
      <c r="K859" s="92"/>
      <c r="L859" s="92"/>
      <c r="M859" s="92"/>
      <c r="N859" s="131"/>
      <c r="O859" s="132"/>
      <c r="P859" s="50"/>
    </row>
    <row r="860" spans="3:37" ht="9.75" customHeight="1">
      <c r="C860" s="111"/>
      <c r="D860" s="144"/>
      <c r="E860" s="105"/>
      <c r="F860" s="105"/>
      <c r="G860" s="131"/>
      <c r="H860" s="92"/>
      <c r="I860" s="92"/>
      <c r="J860" s="92"/>
      <c r="K860" s="92"/>
      <c r="L860" s="92"/>
      <c r="M860" s="92"/>
      <c r="N860" s="131"/>
      <c r="O860" s="132"/>
      <c r="P860" s="50"/>
    </row>
    <row r="861" spans="3:37" ht="5.0999999999999996" customHeight="1">
      <c r="C861" s="111"/>
      <c r="D861" s="144"/>
      <c r="E861" s="105"/>
      <c r="F861" s="105"/>
      <c r="G861" s="131"/>
      <c r="H861" s="92"/>
      <c r="I861" s="92"/>
      <c r="J861" s="92"/>
      <c r="K861" s="92"/>
      <c r="L861" s="92"/>
      <c r="M861" s="92"/>
      <c r="N861" s="131"/>
      <c r="O861" s="132"/>
      <c r="P861" s="50"/>
    </row>
    <row r="862" spans="3:37" ht="15" customHeight="1">
      <c r="C862" s="111"/>
      <c r="D862" s="161" t="s">
        <v>10</v>
      </c>
      <c r="E862" s="105"/>
      <c r="F862" s="105"/>
      <c r="G862" s="161"/>
      <c r="H862" s="161"/>
      <c r="I862" s="161"/>
      <c r="J862" s="161"/>
      <c r="K862" s="161"/>
      <c r="L862" s="94"/>
      <c r="M862" s="94"/>
      <c r="N862" s="332"/>
      <c r="O862" s="333"/>
      <c r="P862" s="50"/>
    </row>
    <row r="863" spans="3:37" ht="15">
      <c r="C863" s="111"/>
      <c r="D863" s="125" t="s">
        <v>197</v>
      </c>
      <c r="E863" s="105"/>
      <c r="F863" s="105"/>
      <c r="G863" s="511"/>
      <c r="H863" s="95"/>
      <c r="I863" s="95"/>
      <c r="J863" s="95"/>
      <c r="K863" s="95"/>
      <c r="L863" s="95"/>
      <c r="M863" s="95"/>
      <c r="N863" s="205"/>
      <c r="O863" s="132"/>
      <c r="P863" s="50"/>
    </row>
    <row r="864" spans="3:37" ht="18" customHeight="1">
      <c r="C864" s="111"/>
      <c r="D864" s="125" t="s">
        <v>367</v>
      </c>
      <c r="E864" s="105"/>
      <c r="F864" s="105"/>
      <c r="G864" s="125"/>
      <c r="H864" s="95"/>
      <c r="I864" s="95"/>
      <c r="J864" s="95"/>
      <c r="K864" s="95"/>
      <c r="L864" s="95"/>
      <c r="M864" s="95"/>
      <c r="N864" s="205"/>
      <c r="O864" s="132"/>
      <c r="P864" s="50"/>
    </row>
    <row r="865" spans="3:16" ht="15">
      <c r="C865" s="111"/>
      <c r="D865" s="125" t="s">
        <v>255</v>
      </c>
      <c r="E865" s="105"/>
      <c r="F865" s="105"/>
      <c r="G865" s="125"/>
      <c r="H865" s="95"/>
      <c r="I865" s="95"/>
      <c r="J865" s="95"/>
      <c r="K865" s="95"/>
      <c r="L865" s="95"/>
      <c r="M865" s="95"/>
      <c r="N865" s="205"/>
      <c r="O865" s="132"/>
      <c r="P865" s="50"/>
    </row>
    <row r="866" spans="3:16" ht="15">
      <c r="C866" s="111"/>
      <c r="D866" s="125" t="s">
        <v>368</v>
      </c>
      <c r="E866" s="105"/>
      <c r="F866" s="105"/>
      <c r="G866" s="125"/>
      <c r="H866" s="95"/>
      <c r="I866" s="95"/>
      <c r="J866" s="95"/>
      <c r="K866" s="95"/>
      <c r="L866" s="95"/>
      <c r="M866" s="95"/>
      <c r="N866" s="205"/>
      <c r="O866" s="132"/>
      <c r="P866" s="50"/>
    </row>
    <row r="867" spans="3:16" ht="15">
      <c r="C867" s="111"/>
      <c r="D867" s="125" t="s">
        <v>371</v>
      </c>
      <c r="E867" s="105"/>
      <c r="F867" s="105"/>
      <c r="G867" s="125"/>
      <c r="H867" s="95"/>
      <c r="I867" s="95"/>
      <c r="J867" s="95"/>
      <c r="K867" s="95"/>
      <c r="L867" s="95"/>
      <c r="M867" s="95"/>
      <c r="N867" s="205"/>
      <c r="O867" s="132"/>
      <c r="P867" s="50"/>
    </row>
    <row r="868" spans="3:16" ht="15">
      <c r="C868" s="111"/>
      <c r="D868" s="125" t="s">
        <v>372</v>
      </c>
      <c r="E868" s="105"/>
      <c r="F868" s="105"/>
      <c r="G868" s="125"/>
      <c r="H868" s="95"/>
      <c r="I868" s="95"/>
      <c r="J868" s="95"/>
      <c r="K868" s="95"/>
      <c r="L868" s="95"/>
      <c r="M868" s="95"/>
      <c r="N868" s="205"/>
      <c r="O868" s="132"/>
      <c r="P868" s="50"/>
    </row>
    <row r="869" spans="3:16" ht="15">
      <c r="C869" s="111"/>
      <c r="D869" s="125" t="s">
        <v>373</v>
      </c>
      <c r="E869" s="105"/>
      <c r="F869" s="105"/>
      <c r="G869" s="125"/>
      <c r="H869" s="95"/>
      <c r="I869" s="95"/>
      <c r="J869" s="95"/>
      <c r="K869" s="95"/>
      <c r="L869" s="95"/>
      <c r="M869" s="95"/>
      <c r="N869" s="205"/>
      <c r="O869" s="132"/>
      <c r="P869" s="50"/>
    </row>
    <row r="870" spans="3:16" ht="15">
      <c r="C870" s="111"/>
      <c r="D870" s="125" t="s">
        <v>369</v>
      </c>
      <c r="E870" s="105"/>
      <c r="F870" s="105"/>
      <c r="G870" s="125"/>
      <c r="H870" s="95"/>
      <c r="I870" s="95"/>
      <c r="J870" s="95"/>
      <c r="K870" s="95"/>
      <c r="L870" s="95"/>
      <c r="M870" s="95"/>
      <c r="N870" s="205"/>
      <c r="O870" s="132"/>
      <c r="P870" s="50"/>
    </row>
    <row r="871" spans="3:16" ht="15">
      <c r="C871" s="111"/>
      <c r="D871" s="125" t="s">
        <v>395</v>
      </c>
      <c r="E871" s="105"/>
      <c r="F871" s="105"/>
      <c r="G871" s="125"/>
      <c r="H871" s="95"/>
      <c r="I871" s="95"/>
      <c r="J871" s="95"/>
      <c r="K871" s="95"/>
      <c r="L871" s="95"/>
      <c r="M871" s="95"/>
      <c r="N871" s="205"/>
      <c r="O871" s="132"/>
      <c r="P871" s="50"/>
    </row>
    <row r="872" spans="3:16" ht="15">
      <c r="C872" s="111"/>
      <c r="D872" s="125" t="s">
        <v>0</v>
      </c>
      <c r="E872" s="105"/>
      <c r="F872" s="105"/>
      <c r="G872" s="125"/>
      <c r="H872" s="95"/>
      <c r="I872" s="95"/>
      <c r="J872" s="95"/>
      <c r="K872" s="95"/>
      <c r="L872" s="95"/>
      <c r="M872" s="95"/>
      <c r="N872" s="205"/>
      <c r="O872" s="132"/>
      <c r="P872" s="50"/>
    </row>
    <row r="873" spans="3:16" ht="15">
      <c r="C873" s="111"/>
      <c r="D873" s="125" t="s">
        <v>1</v>
      </c>
      <c r="E873" s="105"/>
      <c r="F873" s="105"/>
      <c r="G873" s="125"/>
      <c r="H873" s="95"/>
      <c r="I873" s="95"/>
      <c r="J873" s="95"/>
      <c r="K873" s="95"/>
      <c r="L873" s="95"/>
      <c r="M873" s="95"/>
      <c r="N873" s="205"/>
      <c r="O873" s="132"/>
      <c r="P873" s="50"/>
    </row>
    <row r="874" spans="3:16" ht="15">
      <c r="C874" s="111"/>
      <c r="D874" s="125" t="s">
        <v>370</v>
      </c>
      <c r="E874" s="105"/>
      <c r="F874" s="105"/>
      <c r="G874" s="125"/>
      <c r="H874" s="95"/>
      <c r="I874" s="95"/>
      <c r="J874" s="95"/>
      <c r="K874" s="95"/>
      <c r="L874" s="95"/>
      <c r="M874" s="95"/>
      <c r="N874" s="205"/>
      <c r="O874" s="132"/>
      <c r="P874" s="50"/>
    </row>
    <row r="875" spans="3:16" ht="15">
      <c r="C875" s="111"/>
      <c r="D875" s="125" t="s">
        <v>2</v>
      </c>
      <c r="E875" s="105"/>
      <c r="F875" s="105"/>
      <c r="G875" s="125"/>
      <c r="H875" s="95"/>
      <c r="I875" s="95"/>
      <c r="J875" s="95"/>
      <c r="K875" s="95"/>
      <c r="L875" s="95"/>
      <c r="M875" s="95"/>
      <c r="N875" s="205"/>
      <c r="O875" s="132"/>
      <c r="P875" s="50"/>
    </row>
    <row r="876" spans="3:16" ht="15">
      <c r="C876" s="111"/>
      <c r="D876" s="125" t="s">
        <v>198</v>
      </c>
      <c r="E876" s="105"/>
      <c r="F876" s="105"/>
      <c r="G876" s="125"/>
      <c r="H876" s="95"/>
      <c r="I876" s="95"/>
      <c r="J876" s="95"/>
      <c r="K876" s="95"/>
      <c r="L876" s="95"/>
      <c r="M876" s="95"/>
      <c r="N876" s="205"/>
      <c r="O876" s="132"/>
      <c r="P876" s="50"/>
    </row>
    <row r="877" spans="3:16" ht="15">
      <c r="C877" s="111"/>
      <c r="D877" s="125" t="s">
        <v>199</v>
      </c>
      <c r="E877" s="105"/>
      <c r="F877" s="105"/>
      <c r="G877" s="125"/>
      <c r="H877" s="95"/>
      <c r="I877" s="95"/>
      <c r="J877" s="95"/>
      <c r="K877" s="95"/>
      <c r="L877" s="95"/>
      <c r="M877" s="95"/>
      <c r="N877" s="205"/>
      <c r="O877" s="132"/>
      <c r="P877" s="50"/>
    </row>
    <row r="878" spans="3:16" ht="18" customHeight="1">
      <c r="C878" s="186"/>
      <c r="D878" s="209"/>
      <c r="E878" s="209"/>
      <c r="F878" s="209"/>
      <c r="G878" s="210"/>
      <c r="H878" s="209"/>
      <c r="I878" s="209"/>
      <c r="J878" s="209"/>
      <c r="K878" s="209"/>
      <c r="L878" s="209"/>
      <c r="M878" s="209"/>
      <c r="N878" s="180"/>
      <c r="O878" s="146"/>
      <c r="P878" s="50"/>
    </row>
    <row r="879" spans="3:16" ht="18" customHeight="1">
      <c r="C879" s="147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50"/>
      <c r="O879" s="50"/>
      <c r="P879" s="50"/>
    </row>
    <row r="880" spans="3:16"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</row>
    <row r="881" spans="4:16"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</row>
    <row r="882" spans="4:16"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</row>
    <row r="883" spans="4:16"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</row>
    <row r="884" spans="4:16"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</row>
    <row r="885" spans="4:16"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</row>
    <row r="886" spans="4:16"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</row>
    <row r="887" spans="4:16"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</row>
    <row r="888" spans="4:16"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</row>
    <row r="889" spans="4:16"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</row>
    <row r="890" spans="4:16"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</row>
    <row r="891" spans="4:16"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</row>
    <row r="892" spans="4:16"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</row>
    <row r="893" spans="4:16"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</row>
    <row r="894" spans="4:16"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</row>
    <row r="895" spans="4:16"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</row>
    <row r="896" spans="4:16"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</row>
    <row r="897" spans="4:16"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</row>
    <row r="898" spans="4:16"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</row>
    <row r="899" spans="4:16"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</row>
    <row r="900" spans="4:16"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</row>
    <row r="901" spans="4:16"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</row>
    <row r="902" spans="4:16"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</row>
    <row r="903" spans="4:16"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</row>
    <row r="904" spans="4:16"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</row>
    <row r="905" spans="4:16"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</row>
    <row r="906" spans="4:16"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</row>
    <row r="907" spans="4:16"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</row>
    <row r="908" spans="4:16"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</row>
    <row r="909" spans="4:16"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</row>
    <row r="910" spans="4:16"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</row>
    <row r="911" spans="4:16"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</row>
    <row r="912" spans="4:16"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</row>
    <row r="913" spans="1:16"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</row>
    <row r="914" spans="1:16"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</row>
    <row r="915" spans="1:16"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</row>
    <row r="916" spans="1:16"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</row>
    <row r="917" spans="1:16"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</row>
    <row r="918" spans="1:16"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</row>
    <row r="919" spans="1:16"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</row>
    <row r="920" spans="1:16"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</row>
    <row r="921" spans="1:16"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</row>
    <row r="922" spans="1:16"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</row>
    <row r="923" spans="1:16"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</row>
    <row r="924" spans="1:16"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</row>
    <row r="925" spans="1:16">
      <c r="A925" s="77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</row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</sheetData>
  <sheetProtection password="EED3" sheet="1" objects="1" scenarios="1"/>
  <mergeCells count="38">
    <mergeCell ref="F421:I421"/>
    <mergeCell ref="D468:M468"/>
    <mergeCell ref="D639:M639"/>
    <mergeCell ref="D583:M583"/>
    <mergeCell ref="D536:M536"/>
    <mergeCell ref="G24:H25"/>
    <mergeCell ref="M24:O25"/>
    <mergeCell ref="D245:M245"/>
    <mergeCell ref="D257:M257"/>
    <mergeCell ref="D258:M258"/>
    <mergeCell ref="D235:M235"/>
    <mergeCell ref="D236:M236"/>
    <mergeCell ref="D237:M237"/>
    <mergeCell ref="D240:M240"/>
    <mergeCell ref="D231:M231"/>
    <mergeCell ref="D295:M295"/>
    <mergeCell ref="D357:M357"/>
    <mergeCell ref="D232:M232"/>
    <mergeCell ref="D244:M244"/>
    <mergeCell ref="D410:M410"/>
    <mergeCell ref="D290:M290"/>
    <mergeCell ref="D291:M291"/>
    <mergeCell ref="C853:O853"/>
    <mergeCell ref="D3:L3"/>
    <mergeCell ref="D4:L4"/>
    <mergeCell ref="D5:E5"/>
    <mergeCell ref="F5:H5"/>
    <mergeCell ref="E6:K6"/>
    <mergeCell ref="D15:L16"/>
    <mergeCell ref="D185:M185"/>
    <mergeCell ref="D199:M199"/>
    <mergeCell ref="D225:M225"/>
    <mergeCell ref="D242:M242"/>
    <mergeCell ref="D227:M227"/>
    <mergeCell ref="D228:M228"/>
    <mergeCell ref="D229:M229"/>
    <mergeCell ref="I5:J5"/>
    <mergeCell ref="D292:M292"/>
  </mergeCells>
  <phoneticPr fontId="3" type="noConversion"/>
  <dataValidations count="1">
    <dataValidation type="list" allowBlank="1" showInputMessage="1" showErrorMessage="1" sqref="K6" xr:uid="{00000000-0002-0000-0000-000000000000}">
      <formula1>meses</formula1>
    </dataValidation>
  </dataValidations>
  <printOptions horizontalCentered="1" verticalCentered="1"/>
  <pageMargins left="0.39370078740157483" right="0.39370078740157483" top="0.39370078740157483" bottom="0.39370078740157483" header="0" footer="0"/>
  <pageSetup paperSize="9" orientation="landscape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  <pageSetUpPr fitToPage="1"/>
  </sheetPr>
  <dimension ref="A1:AY216"/>
  <sheetViews>
    <sheetView showGridLines="0" showRowColHeaders="0" tabSelected="1" showOutlineSymbols="0" zoomScaleNormal="100" workbookViewId="0">
      <pane xSplit="85" ySplit="3" topLeftCell="CH4" activePane="bottomRight" state="frozen"/>
      <selection activeCell="K18" sqref="K18:L19"/>
      <selection pane="topRight" activeCell="K18" sqref="K18:L19"/>
      <selection pane="bottomLeft" activeCell="K18" sqref="K18:L19"/>
      <selection pane="bottomRight" activeCell="O52" sqref="O52"/>
    </sheetView>
  </sheetViews>
  <sheetFormatPr baseColWidth="10" defaultRowHeight="13.2"/>
  <cols>
    <col min="1" max="1" width="11.44140625" hidden="1" customWidth="1"/>
    <col min="2" max="3" width="3.6640625" customWidth="1"/>
    <col min="4" max="4" width="9.6640625" customWidth="1"/>
    <col min="5" max="5" width="12.6640625" customWidth="1"/>
    <col min="6" max="6" width="10.5546875" customWidth="1"/>
    <col min="7" max="7" width="27.5546875" customWidth="1"/>
    <col min="8" max="12" width="12.5546875" customWidth="1"/>
    <col min="13" max="13" width="3.6640625" customWidth="1"/>
    <col min="14" max="14" width="4.6640625" customWidth="1"/>
    <col min="15" max="50" width="11.44140625"/>
    <col min="51" max="51" width="20.6640625" customWidth="1"/>
    <col min="52" max="85" width="11.44140625"/>
  </cols>
  <sheetData>
    <row r="1" spans="2:51" ht="5.0999999999999996" customHeight="1"/>
    <row r="2" spans="2:51" ht="5.0999999999999996" customHeight="1" thickBot="1"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</row>
    <row r="3" spans="2:51" ht="24.9" customHeight="1" thickTop="1" thickBot="1">
      <c r="C3" s="707" t="s">
        <v>260</v>
      </c>
      <c r="D3" s="708"/>
      <c r="E3" s="708"/>
      <c r="F3" s="708"/>
      <c r="G3" s="708"/>
      <c r="H3" s="708"/>
      <c r="I3" s="708"/>
      <c r="J3" s="708"/>
      <c r="K3" s="708"/>
      <c r="L3" s="708"/>
      <c r="M3" s="709"/>
      <c r="N3" s="50"/>
    </row>
    <row r="4" spans="2:51" ht="5.0999999999999996" customHeight="1" thickTop="1">
      <c r="B4" s="50"/>
      <c r="C4" s="693"/>
      <c r="D4" s="694"/>
      <c r="E4" s="694"/>
      <c r="F4" s="694"/>
      <c r="G4" s="101"/>
      <c r="H4" s="101"/>
      <c r="I4" s="101"/>
      <c r="J4" s="101"/>
      <c r="K4" s="101"/>
      <c r="L4" s="101"/>
      <c r="M4" s="686"/>
      <c r="N4" s="50"/>
    </row>
    <row r="5" spans="2:51" ht="5.0999999999999996" customHeight="1">
      <c r="B5" s="50"/>
      <c r="C5" s="680"/>
      <c r="D5" s="695"/>
      <c r="E5" s="695"/>
      <c r="F5" s="695"/>
      <c r="G5" s="696"/>
      <c r="H5" s="697"/>
      <c r="I5" s="697"/>
      <c r="J5" s="697"/>
      <c r="K5" s="697"/>
      <c r="L5" s="697"/>
      <c r="M5" s="686"/>
      <c r="N5" s="50"/>
    </row>
    <row r="6" spans="2:51" ht="18" customHeight="1">
      <c r="C6" s="698">
        <v>1</v>
      </c>
      <c r="D6" s="713" t="s">
        <v>11</v>
      </c>
      <c r="E6" s="714"/>
      <c r="F6" s="714"/>
      <c r="G6" s="715"/>
      <c r="H6" s="352">
        <f>INICIO!$K$5</f>
        <v>2026</v>
      </c>
      <c r="I6" s="353">
        <f>INICIO!K5-1</f>
        <v>2025</v>
      </c>
      <c r="J6" s="353">
        <f>I6-1</f>
        <v>2024</v>
      </c>
      <c r="K6" s="353">
        <f>J6-1</f>
        <v>2023</v>
      </c>
      <c r="L6" s="354">
        <f>K6-1</f>
        <v>2022</v>
      </c>
      <c r="M6" s="686"/>
      <c r="N6" s="50"/>
    </row>
    <row r="7" spans="2:51" ht="15">
      <c r="B7" s="50"/>
      <c r="C7" s="680"/>
      <c r="D7" s="716" t="s">
        <v>257</v>
      </c>
      <c r="E7" s="717"/>
      <c r="F7" s="717"/>
      <c r="G7" s="718"/>
      <c r="H7" s="653">
        <f>SUM(H8:H13)</f>
        <v>0</v>
      </c>
      <c r="I7" s="653">
        <f>SUM(I8:I13)</f>
        <v>488501.60000000003</v>
      </c>
      <c r="J7" s="653">
        <f>SUM(J8:J13)</f>
        <v>390976.57999999996</v>
      </c>
      <c r="K7" s="653">
        <f>SUM(K8:K13)</f>
        <v>146052.87</v>
      </c>
      <c r="L7" s="653">
        <f>SUM(L8:L13)</f>
        <v>61147.98</v>
      </c>
      <c r="M7" s="686"/>
      <c r="N7" s="50"/>
    </row>
    <row r="8" spans="2:51" ht="15">
      <c r="B8" s="81"/>
      <c r="C8" s="680"/>
      <c r="D8" s="522" t="s">
        <v>94</v>
      </c>
      <c r="E8" s="523"/>
      <c r="F8" s="523"/>
      <c r="G8" s="524"/>
      <c r="H8" s="654"/>
      <c r="I8" s="654">
        <v>6229.2</v>
      </c>
      <c r="J8" s="654">
        <v>11013.6</v>
      </c>
      <c r="K8" s="654">
        <v>15798</v>
      </c>
      <c r="L8" s="654">
        <v>0</v>
      </c>
      <c r="M8" s="686"/>
      <c r="N8" s="81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</row>
    <row r="9" spans="2:51" ht="15">
      <c r="B9" s="82"/>
      <c r="C9" s="680"/>
      <c r="D9" s="525" t="s">
        <v>95</v>
      </c>
      <c r="E9" s="526"/>
      <c r="F9" s="526"/>
      <c r="G9" s="527"/>
      <c r="H9" s="655"/>
      <c r="I9" s="655">
        <v>479272.4</v>
      </c>
      <c r="J9" s="655">
        <v>376962.98</v>
      </c>
      <c r="K9" s="655">
        <v>130254.87</v>
      </c>
      <c r="L9" s="655">
        <v>61147.98</v>
      </c>
      <c r="M9" s="686"/>
      <c r="N9" s="82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</row>
    <row r="10" spans="2:51" ht="15">
      <c r="B10" s="83"/>
      <c r="C10" s="680"/>
      <c r="D10" s="525" t="s">
        <v>96</v>
      </c>
      <c r="E10" s="526"/>
      <c r="F10" s="526"/>
      <c r="G10" s="527"/>
      <c r="H10" s="655"/>
      <c r="I10" s="655">
        <v>0</v>
      </c>
      <c r="J10" s="655">
        <v>0</v>
      </c>
      <c r="K10" s="655">
        <v>0</v>
      </c>
      <c r="L10" s="655">
        <v>0</v>
      </c>
      <c r="M10" s="686"/>
      <c r="N10" s="83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</row>
    <row r="11" spans="2:51" ht="15">
      <c r="B11" s="83"/>
      <c r="C11" s="680"/>
      <c r="D11" s="525" t="s">
        <v>489</v>
      </c>
      <c r="E11" s="526"/>
      <c r="F11" s="526"/>
      <c r="G11" s="527"/>
      <c r="H11" s="655"/>
      <c r="I11" s="655">
        <v>0</v>
      </c>
      <c r="J11" s="655">
        <v>0</v>
      </c>
      <c r="K11" s="655">
        <v>0</v>
      </c>
      <c r="L11" s="655">
        <v>0</v>
      </c>
      <c r="M11" s="686"/>
      <c r="N11" s="83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</row>
    <row r="12" spans="2:51" ht="15">
      <c r="B12" s="82"/>
      <c r="C12" s="680"/>
      <c r="D12" s="525" t="s">
        <v>97</v>
      </c>
      <c r="E12" s="526"/>
      <c r="F12" s="526"/>
      <c r="G12" s="527"/>
      <c r="H12" s="655"/>
      <c r="I12" s="655">
        <v>3000</v>
      </c>
      <c r="J12" s="655">
        <v>3000</v>
      </c>
      <c r="K12" s="655">
        <v>0</v>
      </c>
      <c r="L12" s="655">
        <v>0</v>
      </c>
      <c r="M12" s="686"/>
      <c r="N12" s="82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</row>
    <row r="13" spans="2:51" ht="15">
      <c r="B13" s="82"/>
      <c r="C13" s="680"/>
      <c r="D13" s="519" t="s">
        <v>98</v>
      </c>
      <c r="E13" s="520"/>
      <c r="F13" s="520"/>
      <c r="G13" s="521"/>
      <c r="H13" s="656"/>
      <c r="I13" s="656">
        <v>0</v>
      </c>
      <c r="J13" s="656">
        <v>0</v>
      </c>
      <c r="K13" s="656">
        <v>0</v>
      </c>
      <c r="L13" s="656">
        <v>0</v>
      </c>
      <c r="M13" s="686"/>
      <c r="N13" s="82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</row>
    <row r="14" spans="2:51" ht="15">
      <c r="B14" s="82"/>
      <c r="C14" s="680"/>
      <c r="D14" s="719" t="s">
        <v>258</v>
      </c>
      <c r="E14" s="720"/>
      <c r="F14" s="720"/>
      <c r="G14" s="721"/>
      <c r="H14" s="657">
        <f>SUM(H15:H17)+SUM(H21:H24)</f>
        <v>0</v>
      </c>
      <c r="I14" s="657">
        <f t="shared" ref="I14:L14" si="0">SUM(I15:I17)+SUM(I21:I24)</f>
        <v>843463.59</v>
      </c>
      <c r="J14" s="657">
        <f t="shared" si="0"/>
        <v>581561.29</v>
      </c>
      <c r="K14" s="657">
        <f t="shared" si="0"/>
        <v>480210.23</v>
      </c>
      <c r="L14" s="657">
        <f t="shared" si="0"/>
        <v>292368.73</v>
      </c>
      <c r="M14" s="686"/>
      <c r="N14" s="82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</row>
    <row r="15" spans="2:51" ht="15">
      <c r="B15" s="82"/>
      <c r="C15" s="680"/>
      <c r="D15" s="522" t="s">
        <v>99</v>
      </c>
      <c r="E15" s="523"/>
      <c r="F15" s="523"/>
      <c r="G15" s="524"/>
      <c r="H15" s="658"/>
      <c r="I15" s="658">
        <v>0</v>
      </c>
      <c r="J15" s="658">
        <v>0</v>
      </c>
      <c r="K15" s="658">
        <v>0</v>
      </c>
      <c r="L15" s="658">
        <v>0</v>
      </c>
      <c r="M15" s="686"/>
      <c r="N15" s="82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</row>
    <row r="16" spans="2:51" ht="15">
      <c r="B16" s="82"/>
      <c r="C16" s="680"/>
      <c r="D16" s="525" t="s">
        <v>100</v>
      </c>
      <c r="E16" s="526"/>
      <c r="F16" s="526"/>
      <c r="G16" s="527"/>
      <c r="H16" s="659"/>
      <c r="I16" s="659">
        <v>241085.05</v>
      </c>
      <c r="J16" s="659">
        <v>180801.13</v>
      </c>
      <c r="K16" s="659">
        <v>171516.07</v>
      </c>
      <c r="L16" s="659">
        <v>117928.7</v>
      </c>
      <c r="M16" s="686"/>
      <c r="N16" s="82"/>
      <c r="O16" s="84"/>
      <c r="P16" s="96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</row>
    <row r="17" spans="2:51" ht="15">
      <c r="B17" s="82"/>
      <c r="C17" s="680"/>
      <c r="D17" s="519" t="s">
        <v>101</v>
      </c>
      <c r="E17" s="520"/>
      <c r="F17" s="520"/>
      <c r="G17" s="521"/>
      <c r="H17" s="660">
        <f>SUM(H18:H20)</f>
        <v>0</v>
      </c>
      <c r="I17" s="660">
        <f t="shared" ref="I17:L17" si="1">SUM(I18:I20)</f>
        <v>529680.41</v>
      </c>
      <c r="J17" s="660">
        <f t="shared" si="1"/>
        <v>319077.91000000003</v>
      </c>
      <c r="K17" s="660">
        <f t="shared" si="1"/>
        <v>237479.15</v>
      </c>
      <c r="L17" s="660">
        <f t="shared" si="1"/>
        <v>148953.06</v>
      </c>
      <c r="M17" s="686"/>
      <c r="N17" s="82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</row>
    <row r="18" spans="2:51" ht="15">
      <c r="B18" s="82"/>
      <c r="C18" s="680"/>
      <c r="D18" s="531" t="s">
        <v>134</v>
      </c>
      <c r="E18" s="523"/>
      <c r="F18" s="523"/>
      <c r="G18" s="524"/>
      <c r="H18" s="658"/>
      <c r="I18" s="658">
        <v>529680.41</v>
      </c>
      <c r="J18" s="658">
        <v>305951.02</v>
      </c>
      <c r="K18" s="658">
        <v>237479.15</v>
      </c>
      <c r="L18" s="658">
        <v>133438.68</v>
      </c>
      <c r="M18" s="686"/>
      <c r="N18" s="82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</row>
    <row r="19" spans="2:51" ht="15">
      <c r="B19" s="82"/>
      <c r="C19" s="680"/>
      <c r="D19" s="532" t="s">
        <v>135</v>
      </c>
      <c r="E19" s="526"/>
      <c r="F19" s="526"/>
      <c r="G19" s="527"/>
      <c r="H19" s="659"/>
      <c r="I19" s="659">
        <v>0</v>
      </c>
      <c r="J19" s="659">
        <v>0</v>
      </c>
      <c r="K19" s="659">
        <v>0</v>
      </c>
      <c r="L19" s="659">
        <v>0</v>
      </c>
      <c r="M19" s="686"/>
      <c r="N19" s="82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</row>
    <row r="20" spans="2:51" ht="15">
      <c r="B20" s="82"/>
      <c r="C20" s="680"/>
      <c r="D20" s="533" t="s">
        <v>136</v>
      </c>
      <c r="E20" s="520"/>
      <c r="F20" s="520"/>
      <c r="G20" s="521"/>
      <c r="H20" s="661"/>
      <c r="I20" s="661">
        <v>0</v>
      </c>
      <c r="J20" s="661">
        <v>13126.89</v>
      </c>
      <c r="K20" s="661">
        <v>0</v>
      </c>
      <c r="L20" s="661">
        <v>15514.38</v>
      </c>
      <c r="M20" s="686"/>
      <c r="N20" s="82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</row>
    <row r="21" spans="2:51" ht="15">
      <c r="B21" s="82"/>
      <c r="C21" s="680"/>
      <c r="D21" s="522" t="s">
        <v>490</v>
      </c>
      <c r="E21" s="523"/>
      <c r="F21" s="523"/>
      <c r="G21" s="524"/>
      <c r="H21" s="658"/>
      <c r="I21" s="658">
        <v>0</v>
      </c>
      <c r="J21" s="658">
        <v>0</v>
      </c>
      <c r="K21" s="658">
        <v>0</v>
      </c>
      <c r="L21" s="658">
        <v>0</v>
      </c>
      <c r="M21" s="686"/>
      <c r="N21" s="82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</row>
    <row r="22" spans="2:51" ht="15">
      <c r="B22" s="82"/>
      <c r="C22" s="680"/>
      <c r="D22" s="525" t="s">
        <v>102</v>
      </c>
      <c r="E22" s="526"/>
      <c r="F22" s="526"/>
      <c r="G22" s="527"/>
      <c r="H22" s="659"/>
      <c r="I22" s="659">
        <v>0</v>
      </c>
      <c r="J22" s="659">
        <v>0</v>
      </c>
      <c r="K22" s="659">
        <v>0</v>
      </c>
      <c r="L22" s="659">
        <v>0</v>
      </c>
      <c r="M22" s="686"/>
      <c r="N22" s="82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</row>
    <row r="23" spans="2:51" ht="15">
      <c r="B23" s="82"/>
      <c r="C23" s="680"/>
      <c r="D23" s="525" t="s">
        <v>103</v>
      </c>
      <c r="E23" s="526"/>
      <c r="F23" s="526"/>
      <c r="G23" s="527"/>
      <c r="H23" s="659"/>
      <c r="I23" s="659">
        <v>0</v>
      </c>
      <c r="J23" s="659">
        <v>0</v>
      </c>
      <c r="K23" s="659">
        <v>0</v>
      </c>
      <c r="L23" s="659">
        <v>739.94</v>
      </c>
      <c r="M23" s="686"/>
      <c r="N23" s="82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</row>
    <row r="24" spans="2:51" ht="15">
      <c r="B24" s="82"/>
      <c r="C24" s="680"/>
      <c r="D24" s="528" t="s">
        <v>104</v>
      </c>
      <c r="E24" s="529"/>
      <c r="F24" s="529"/>
      <c r="G24" s="530"/>
      <c r="H24" s="662"/>
      <c r="I24" s="662">
        <v>72698.13</v>
      </c>
      <c r="J24" s="662">
        <v>81682.25</v>
      </c>
      <c r="K24" s="662">
        <v>71215.009999999995</v>
      </c>
      <c r="L24" s="662">
        <v>24747.03</v>
      </c>
      <c r="M24" s="686"/>
      <c r="N24" s="82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</row>
    <row r="25" spans="2:51" ht="15">
      <c r="B25" s="82"/>
      <c r="C25" s="680"/>
      <c r="D25" s="722" t="s">
        <v>8</v>
      </c>
      <c r="E25" s="723"/>
      <c r="F25" s="723"/>
      <c r="G25" s="723"/>
      <c r="H25" s="663">
        <f>+H7+H14</f>
        <v>0</v>
      </c>
      <c r="I25" s="663">
        <f>+I7+I14</f>
        <v>1331965.19</v>
      </c>
      <c r="J25" s="663">
        <f>+J7+J14</f>
        <v>972537.87</v>
      </c>
      <c r="K25" s="663">
        <f>+K7+K14</f>
        <v>626263.1</v>
      </c>
      <c r="L25" s="679">
        <f>+L7+L14</f>
        <v>353516.70999999996</v>
      </c>
      <c r="M25" s="686"/>
      <c r="N25" s="82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</row>
    <row r="26" spans="2:51" ht="9.9" customHeight="1">
      <c r="B26" s="82"/>
      <c r="C26" s="681"/>
      <c r="D26" s="682"/>
      <c r="E26" s="683"/>
      <c r="F26" s="683"/>
      <c r="G26" s="683"/>
      <c r="H26" s="684"/>
      <c r="I26" s="683"/>
      <c r="J26" s="683"/>
      <c r="K26" s="683"/>
      <c r="L26" s="683"/>
      <c r="M26" s="685"/>
      <c r="N26" s="82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</row>
    <row r="27" spans="2:51" ht="18" customHeight="1">
      <c r="C27" s="220">
        <v>2</v>
      </c>
      <c r="D27" s="724" t="s">
        <v>12</v>
      </c>
      <c r="E27" s="725"/>
      <c r="F27" s="725"/>
      <c r="G27" s="726"/>
      <c r="H27" s="676">
        <f>INICIO!K5</f>
        <v>2026</v>
      </c>
      <c r="I27" s="364">
        <f>I6</f>
        <v>2025</v>
      </c>
      <c r="J27" s="364">
        <f>J6</f>
        <v>2024</v>
      </c>
      <c r="K27" s="364">
        <f>K6</f>
        <v>2023</v>
      </c>
      <c r="L27" s="365">
        <f>L6</f>
        <v>2022</v>
      </c>
      <c r="M27" s="686"/>
      <c r="N27" s="82"/>
      <c r="O27" s="84"/>
      <c r="P27" s="84"/>
      <c r="Q27" s="84" t="s">
        <v>9</v>
      </c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</row>
    <row r="28" spans="2:51" ht="15">
      <c r="B28" s="82"/>
      <c r="C28" s="680"/>
      <c r="D28" s="710" t="s">
        <v>105</v>
      </c>
      <c r="E28" s="711"/>
      <c r="F28" s="711"/>
      <c r="G28" s="712"/>
      <c r="H28" s="664">
        <f>SUM(H33:H42)+H30</f>
        <v>0</v>
      </c>
      <c r="I28" s="664">
        <f>SUM(I33:I42)+I30</f>
        <v>480121.58</v>
      </c>
      <c r="J28" s="664">
        <f>SUM(J33:J42)+J30</f>
        <v>312289.69</v>
      </c>
      <c r="K28" s="664">
        <f>SUM(K33:K42)+K30</f>
        <v>169493.1</v>
      </c>
      <c r="L28" s="664">
        <f>SUM(L33:L42)+L30</f>
        <v>113234.22</v>
      </c>
      <c r="M28" s="686"/>
      <c r="N28" s="82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</row>
    <row r="29" spans="2:51" ht="15">
      <c r="B29" s="82"/>
      <c r="C29" s="680"/>
      <c r="D29" s="355" t="s">
        <v>106</v>
      </c>
      <c r="E29" s="356"/>
      <c r="F29" s="356"/>
      <c r="G29" s="356"/>
      <c r="H29" s="665"/>
      <c r="I29" s="665"/>
      <c r="J29" s="665"/>
      <c r="K29" s="665"/>
      <c r="L29" s="665"/>
      <c r="M29" s="686"/>
      <c r="N29" s="82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</row>
    <row r="30" spans="2:51" ht="15">
      <c r="B30" s="82"/>
      <c r="C30" s="680"/>
      <c r="D30" s="534" t="s">
        <v>107</v>
      </c>
      <c r="E30" s="357"/>
      <c r="F30" s="357"/>
      <c r="G30" s="357"/>
      <c r="H30" s="666">
        <f>SUM(H31:H32)</f>
        <v>0</v>
      </c>
      <c r="I30" s="666">
        <f t="shared" ref="I30:L30" si="2">SUM(I31:I32)</f>
        <v>24000</v>
      </c>
      <c r="J30" s="666">
        <f t="shared" si="2"/>
        <v>24000</v>
      </c>
      <c r="K30" s="666">
        <f t="shared" si="2"/>
        <v>24000</v>
      </c>
      <c r="L30" s="666">
        <f t="shared" si="2"/>
        <v>24000</v>
      </c>
      <c r="M30" s="686"/>
      <c r="N30" s="82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</row>
    <row r="31" spans="2:51" ht="15">
      <c r="B31" s="82"/>
      <c r="C31" s="680"/>
      <c r="D31" s="515" t="s">
        <v>108</v>
      </c>
      <c r="E31" s="217"/>
      <c r="F31" s="217"/>
      <c r="G31" s="217"/>
      <c r="H31" s="658"/>
      <c r="I31" s="658">
        <v>24000</v>
      </c>
      <c r="J31" s="658">
        <v>24000</v>
      </c>
      <c r="K31" s="658">
        <v>24000</v>
      </c>
      <c r="L31" s="658">
        <v>24000</v>
      </c>
      <c r="M31" s="686"/>
      <c r="N31" s="82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</row>
    <row r="32" spans="2:51" ht="15">
      <c r="B32" s="82"/>
      <c r="C32" s="680"/>
      <c r="D32" s="538" t="s">
        <v>109</v>
      </c>
      <c r="E32" s="219"/>
      <c r="F32" s="219"/>
      <c r="G32" s="219"/>
      <c r="H32" s="661"/>
      <c r="I32" s="661">
        <v>0</v>
      </c>
      <c r="J32" s="661">
        <v>0</v>
      </c>
      <c r="K32" s="661">
        <v>0</v>
      </c>
      <c r="L32" s="661">
        <v>0</v>
      </c>
      <c r="M32" s="686"/>
      <c r="N32" s="82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</row>
    <row r="33" spans="2:51" ht="15">
      <c r="B33" s="82"/>
      <c r="C33" s="680"/>
      <c r="D33" s="537" t="s">
        <v>110</v>
      </c>
      <c r="E33" s="217"/>
      <c r="F33" s="217"/>
      <c r="G33" s="217"/>
      <c r="H33" s="658"/>
      <c r="I33" s="658">
        <v>0</v>
      </c>
      <c r="J33" s="658">
        <v>0</v>
      </c>
      <c r="K33" s="658">
        <v>0</v>
      </c>
      <c r="L33" s="658">
        <v>0</v>
      </c>
      <c r="M33" s="686"/>
      <c r="N33" s="82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</row>
    <row r="34" spans="2:51" ht="15">
      <c r="B34" s="82"/>
      <c r="C34" s="680"/>
      <c r="D34" s="535" t="s">
        <v>111</v>
      </c>
      <c r="E34" s="218"/>
      <c r="F34" s="218"/>
      <c r="G34" s="218"/>
      <c r="H34" s="658"/>
      <c r="I34" s="658">
        <v>288289.69</v>
      </c>
      <c r="J34" s="658">
        <v>144506.82</v>
      </c>
      <c r="K34" s="658">
        <v>89234.22</v>
      </c>
      <c r="L34" s="658">
        <v>68188.789999999994</v>
      </c>
      <c r="M34" s="686"/>
      <c r="N34" s="82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</row>
    <row r="35" spans="2:51" ht="15">
      <c r="B35" s="82"/>
      <c r="C35" s="680"/>
      <c r="D35" s="535" t="s">
        <v>112</v>
      </c>
      <c r="E35" s="218"/>
      <c r="F35" s="218"/>
      <c r="G35" s="218"/>
      <c r="H35" s="658"/>
      <c r="I35" s="658">
        <v>0</v>
      </c>
      <c r="J35" s="658">
        <v>0</v>
      </c>
      <c r="K35" s="658">
        <v>0</v>
      </c>
      <c r="L35" s="658">
        <v>0</v>
      </c>
      <c r="M35" s="686"/>
      <c r="N35" s="82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</row>
    <row r="36" spans="2:51" ht="15">
      <c r="B36" s="82"/>
      <c r="C36" s="680"/>
      <c r="D36" s="535" t="s">
        <v>113</v>
      </c>
      <c r="E36" s="218"/>
      <c r="F36" s="218"/>
      <c r="G36" s="218"/>
      <c r="H36" s="658"/>
      <c r="I36" s="658">
        <v>0</v>
      </c>
      <c r="J36" s="658">
        <v>0</v>
      </c>
      <c r="K36" s="658">
        <v>0</v>
      </c>
      <c r="L36" s="658">
        <v>0</v>
      </c>
      <c r="M36" s="686"/>
      <c r="N36" s="82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</row>
    <row r="37" spans="2:51" ht="15">
      <c r="B37" s="82"/>
      <c r="C37" s="680"/>
      <c r="D37" s="535" t="s">
        <v>114</v>
      </c>
      <c r="E37" s="218"/>
      <c r="F37" s="218"/>
      <c r="G37" s="218"/>
      <c r="H37" s="658"/>
      <c r="I37" s="658">
        <v>0</v>
      </c>
      <c r="J37" s="658">
        <v>0</v>
      </c>
      <c r="K37" s="658">
        <v>0</v>
      </c>
      <c r="L37" s="658">
        <v>0</v>
      </c>
      <c r="M37" s="686"/>
      <c r="N37" s="82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</row>
    <row r="38" spans="2:51" ht="15">
      <c r="B38" s="82"/>
      <c r="C38" s="680"/>
      <c r="D38" s="535" t="s">
        <v>115</v>
      </c>
      <c r="E38" s="218"/>
      <c r="F38" s="218"/>
      <c r="G38" s="218"/>
      <c r="H38" s="658"/>
      <c r="I38" s="658">
        <v>167831.89</v>
      </c>
      <c r="J38" s="658">
        <v>143782.87</v>
      </c>
      <c r="K38" s="658">
        <v>56258.879999999997</v>
      </c>
      <c r="L38" s="658">
        <v>21045.43</v>
      </c>
      <c r="M38" s="686"/>
      <c r="N38" s="82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</row>
    <row r="39" spans="2:51" ht="15">
      <c r="B39" s="82"/>
      <c r="C39" s="680"/>
      <c r="D39" s="535" t="s">
        <v>116</v>
      </c>
      <c r="E39" s="218"/>
      <c r="F39" s="218"/>
      <c r="G39" s="218"/>
      <c r="H39" s="658"/>
      <c r="I39" s="658">
        <v>0</v>
      </c>
      <c r="J39" s="658">
        <v>0</v>
      </c>
      <c r="K39" s="658">
        <v>0</v>
      </c>
      <c r="L39" s="658">
        <v>0</v>
      </c>
      <c r="M39" s="686"/>
      <c r="N39" s="82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</row>
    <row r="40" spans="2:51" ht="15">
      <c r="B40" s="82"/>
      <c r="C40" s="680"/>
      <c r="D40" s="536" t="s">
        <v>117</v>
      </c>
      <c r="E40" s="219"/>
      <c r="F40" s="219"/>
      <c r="G40" s="219"/>
      <c r="H40" s="667"/>
      <c r="I40" s="667">
        <v>0</v>
      </c>
      <c r="J40" s="667">
        <v>0</v>
      </c>
      <c r="K40" s="667">
        <v>0</v>
      </c>
      <c r="L40" s="667">
        <v>0</v>
      </c>
      <c r="M40" s="686"/>
      <c r="N40" s="82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</row>
    <row r="41" spans="2:51" ht="15">
      <c r="B41" s="82"/>
      <c r="C41" s="680"/>
      <c r="D41" s="358" t="s">
        <v>118</v>
      </c>
      <c r="E41" s="359"/>
      <c r="F41" s="359"/>
      <c r="G41" s="359"/>
      <c r="H41" s="668"/>
      <c r="I41" s="668">
        <v>0</v>
      </c>
      <c r="J41" s="668">
        <v>0</v>
      </c>
      <c r="K41" s="668">
        <v>0</v>
      </c>
      <c r="L41" s="668">
        <v>0</v>
      </c>
      <c r="M41" s="686"/>
      <c r="N41" s="82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</row>
    <row r="42" spans="2:51" ht="15">
      <c r="B42" s="82"/>
      <c r="C42" s="680"/>
      <c r="D42" s="358" t="s">
        <v>119</v>
      </c>
      <c r="E42" s="359"/>
      <c r="F42" s="359"/>
      <c r="G42" s="359"/>
      <c r="H42" s="668"/>
      <c r="I42" s="668">
        <v>0</v>
      </c>
      <c r="J42" s="668">
        <v>0</v>
      </c>
      <c r="K42" s="668">
        <v>0</v>
      </c>
      <c r="L42" s="668">
        <v>0</v>
      </c>
      <c r="M42" s="686"/>
      <c r="N42" s="82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</row>
    <row r="43" spans="2:51" ht="15">
      <c r="B43" s="82"/>
      <c r="C43" s="680"/>
      <c r="D43" s="704" t="s">
        <v>120</v>
      </c>
      <c r="E43" s="705"/>
      <c r="F43" s="705"/>
      <c r="G43" s="706"/>
      <c r="H43" s="669">
        <f>SUM(H49:H51)+H45+H44</f>
        <v>0</v>
      </c>
      <c r="I43" s="669">
        <f t="shared" ref="I43:L43" si="3">SUM(I49:I51)+I45+I44</f>
        <v>251229</v>
      </c>
      <c r="J43" s="669">
        <f t="shared" si="3"/>
        <v>268227.99</v>
      </c>
      <c r="K43" s="669">
        <f t="shared" si="3"/>
        <v>119104.82</v>
      </c>
      <c r="L43" s="669">
        <f t="shared" si="3"/>
        <v>46257.020000000004</v>
      </c>
      <c r="M43" s="686"/>
      <c r="N43" s="82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</row>
    <row r="44" spans="2:51" ht="15">
      <c r="B44" s="82"/>
      <c r="C44" s="680"/>
      <c r="D44" s="516" t="s">
        <v>121</v>
      </c>
      <c r="E44" s="211"/>
      <c r="F44" s="211"/>
      <c r="G44" s="212"/>
      <c r="H44" s="658"/>
      <c r="I44" s="658">
        <v>0</v>
      </c>
      <c r="J44" s="658">
        <v>0</v>
      </c>
      <c r="K44" s="658">
        <v>0</v>
      </c>
      <c r="L44" s="658">
        <v>0</v>
      </c>
      <c r="M44" s="686"/>
      <c r="N44" s="82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</row>
    <row r="45" spans="2:51" ht="15">
      <c r="B45" s="82"/>
      <c r="C45" s="680"/>
      <c r="D45" s="539" t="s">
        <v>122</v>
      </c>
      <c r="E45" s="360"/>
      <c r="F45" s="360"/>
      <c r="G45" s="361"/>
      <c r="H45" s="670">
        <f>SUM(H46:H48)</f>
        <v>0</v>
      </c>
      <c r="I45" s="670">
        <f t="shared" ref="I45:L45" si="4">SUM(I46:I48)</f>
        <v>251229</v>
      </c>
      <c r="J45" s="670">
        <f t="shared" si="4"/>
        <v>268227.99</v>
      </c>
      <c r="K45" s="670">
        <f t="shared" si="4"/>
        <v>119104.82</v>
      </c>
      <c r="L45" s="670">
        <f t="shared" si="4"/>
        <v>46257.020000000004</v>
      </c>
      <c r="M45" s="686"/>
      <c r="N45" s="82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</row>
    <row r="46" spans="2:51" ht="15">
      <c r="B46" s="82"/>
      <c r="C46" s="680"/>
      <c r="D46" s="513" t="s">
        <v>123</v>
      </c>
      <c r="E46" s="211"/>
      <c r="F46" s="211"/>
      <c r="G46" s="212"/>
      <c r="H46" s="658"/>
      <c r="I46" s="658">
        <v>153140.04</v>
      </c>
      <c r="J46" s="658">
        <v>179718.55</v>
      </c>
      <c r="K46" s="658">
        <v>13960.33</v>
      </c>
      <c r="L46" s="658">
        <v>18028.740000000002</v>
      </c>
      <c r="M46" s="686"/>
      <c r="N46" s="82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</row>
    <row r="47" spans="2:51" ht="15">
      <c r="B47" s="82"/>
      <c r="C47" s="680"/>
      <c r="D47" s="514" t="s">
        <v>124</v>
      </c>
      <c r="E47" s="213"/>
      <c r="F47" s="213"/>
      <c r="G47" s="214"/>
      <c r="H47" s="659"/>
      <c r="I47" s="659">
        <v>98088.960000000006</v>
      </c>
      <c r="J47" s="659">
        <v>88509.440000000002</v>
      </c>
      <c r="K47" s="659">
        <v>105144.49</v>
      </c>
      <c r="L47" s="659">
        <v>28228.28</v>
      </c>
      <c r="M47" s="686"/>
      <c r="N47" s="82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</row>
    <row r="48" spans="2:51" ht="15">
      <c r="B48" s="82"/>
      <c r="C48" s="680"/>
      <c r="D48" s="540" t="s">
        <v>125</v>
      </c>
      <c r="E48" s="215"/>
      <c r="F48" s="215"/>
      <c r="G48" s="216"/>
      <c r="H48" s="661"/>
      <c r="I48" s="661">
        <v>0</v>
      </c>
      <c r="J48" s="661">
        <v>0</v>
      </c>
      <c r="K48" s="661">
        <v>0</v>
      </c>
      <c r="L48" s="661">
        <v>0</v>
      </c>
      <c r="M48" s="686"/>
      <c r="N48" s="82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</row>
    <row r="49" spans="2:51" ht="15">
      <c r="B49" s="82"/>
      <c r="C49" s="680"/>
      <c r="D49" s="516" t="s">
        <v>126</v>
      </c>
      <c r="E49" s="211"/>
      <c r="F49" s="211"/>
      <c r="G49" s="212"/>
      <c r="H49" s="658"/>
      <c r="I49" s="658">
        <v>0</v>
      </c>
      <c r="J49" s="658">
        <v>0</v>
      </c>
      <c r="K49" s="658">
        <v>0</v>
      </c>
      <c r="L49" s="658">
        <v>0</v>
      </c>
      <c r="M49" s="686"/>
      <c r="N49" s="82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</row>
    <row r="50" spans="2:51" ht="15">
      <c r="B50" s="82"/>
      <c r="C50" s="680"/>
      <c r="D50" s="517" t="s">
        <v>127</v>
      </c>
      <c r="E50" s="213"/>
      <c r="F50" s="213"/>
      <c r="G50" s="214"/>
      <c r="H50" s="659"/>
      <c r="I50" s="659">
        <v>0</v>
      </c>
      <c r="J50" s="659">
        <v>0</v>
      </c>
      <c r="K50" s="659">
        <v>0</v>
      </c>
      <c r="L50" s="659">
        <v>0</v>
      </c>
      <c r="M50" s="686"/>
      <c r="N50" s="82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</row>
    <row r="51" spans="2:51" ht="15">
      <c r="B51" s="82"/>
      <c r="C51" s="680"/>
      <c r="D51" s="518" t="s">
        <v>128</v>
      </c>
      <c r="E51" s="215"/>
      <c r="F51" s="215"/>
      <c r="G51" s="216"/>
      <c r="H51" s="661"/>
      <c r="I51" s="661">
        <v>0</v>
      </c>
      <c r="J51" s="661">
        <v>0</v>
      </c>
      <c r="K51" s="661">
        <v>0</v>
      </c>
      <c r="L51" s="661">
        <v>0</v>
      </c>
      <c r="M51" s="686"/>
      <c r="N51" s="86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</row>
    <row r="52" spans="2:51" ht="15">
      <c r="B52" s="82"/>
      <c r="C52" s="680"/>
      <c r="D52" s="704" t="s">
        <v>129</v>
      </c>
      <c r="E52" s="705"/>
      <c r="F52" s="705"/>
      <c r="G52" s="706"/>
      <c r="H52" s="669">
        <f>SUM(H53:H55)+H59+H60+H63</f>
        <v>0</v>
      </c>
      <c r="I52" s="669">
        <f t="shared" ref="I52:L52" si="5">SUM(I53:I55)+I59+I60+I63</f>
        <v>600614.61</v>
      </c>
      <c r="J52" s="669">
        <f t="shared" si="5"/>
        <v>392020.19000000006</v>
      </c>
      <c r="K52" s="669">
        <f t="shared" si="5"/>
        <v>337683.18</v>
      </c>
      <c r="L52" s="669">
        <f t="shared" si="5"/>
        <v>194025.47</v>
      </c>
      <c r="M52" s="686"/>
      <c r="N52" s="86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</row>
    <row r="53" spans="2:51" ht="15">
      <c r="B53" s="82"/>
      <c r="C53" s="680"/>
      <c r="D53" s="516" t="s">
        <v>491</v>
      </c>
      <c r="E53" s="211"/>
      <c r="F53" s="211"/>
      <c r="G53" s="212"/>
      <c r="H53" s="658"/>
      <c r="I53" s="658">
        <v>0</v>
      </c>
      <c r="J53" s="658">
        <v>0</v>
      </c>
      <c r="K53" s="658">
        <v>0</v>
      </c>
      <c r="L53" s="658">
        <v>0</v>
      </c>
      <c r="M53" s="686"/>
      <c r="N53" s="82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</row>
    <row r="54" spans="2:51" ht="15">
      <c r="B54" s="82"/>
      <c r="C54" s="680"/>
      <c r="D54" s="517" t="s">
        <v>130</v>
      </c>
      <c r="E54" s="213"/>
      <c r="F54" s="213"/>
      <c r="G54" s="214"/>
      <c r="H54" s="659"/>
      <c r="I54" s="659">
        <v>0</v>
      </c>
      <c r="J54" s="659">
        <v>0</v>
      </c>
      <c r="K54" s="659">
        <v>0</v>
      </c>
      <c r="L54" s="659">
        <v>0</v>
      </c>
      <c r="M54" s="686"/>
      <c r="N54" s="82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</row>
    <row r="55" spans="2:51" ht="15">
      <c r="B55" s="82"/>
      <c r="C55" s="680"/>
      <c r="D55" s="539" t="s">
        <v>131</v>
      </c>
      <c r="E55" s="360"/>
      <c r="F55" s="360"/>
      <c r="G55" s="361"/>
      <c r="H55" s="670">
        <f>SUM(H56:H58)</f>
        <v>0</v>
      </c>
      <c r="I55" s="670">
        <f t="shared" ref="I55:L55" si="6">SUM(I56:I58)</f>
        <v>54992.229999999996</v>
      </c>
      <c r="J55" s="670">
        <f t="shared" si="6"/>
        <v>38056.639999999999</v>
      </c>
      <c r="K55" s="670">
        <f t="shared" si="6"/>
        <v>13426.2</v>
      </c>
      <c r="L55" s="670">
        <f t="shared" si="6"/>
        <v>34892.409999999996</v>
      </c>
      <c r="M55" s="686"/>
      <c r="N55" s="82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</row>
    <row r="56" spans="2:51" ht="15">
      <c r="B56" s="82"/>
      <c r="C56" s="680"/>
      <c r="D56" s="513" t="s">
        <v>123</v>
      </c>
      <c r="E56" s="211"/>
      <c r="F56" s="211"/>
      <c r="G56" s="212"/>
      <c r="H56" s="658"/>
      <c r="I56" s="658">
        <v>26578.639999999999</v>
      </c>
      <c r="J56" s="658">
        <v>25419.66</v>
      </c>
      <c r="K56" s="658">
        <v>4023.46</v>
      </c>
      <c r="L56" s="658">
        <v>9032.2199999999993</v>
      </c>
      <c r="M56" s="686"/>
      <c r="N56" s="82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</row>
    <row r="57" spans="2:51" ht="15">
      <c r="B57" s="82"/>
      <c r="C57" s="680"/>
      <c r="D57" s="514" t="s">
        <v>124</v>
      </c>
      <c r="E57" s="213"/>
      <c r="F57" s="213"/>
      <c r="G57" s="214"/>
      <c r="H57" s="659"/>
      <c r="I57" s="659">
        <v>28413.59</v>
      </c>
      <c r="J57" s="659">
        <v>12636.98</v>
      </c>
      <c r="K57" s="659">
        <v>6957.86</v>
      </c>
      <c r="L57" s="659">
        <v>3547.57</v>
      </c>
      <c r="M57" s="686"/>
      <c r="N57" s="82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</row>
    <row r="58" spans="2:51" ht="15">
      <c r="B58" s="82"/>
      <c r="C58" s="680"/>
      <c r="D58" s="540" t="s">
        <v>137</v>
      </c>
      <c r="E58" s="215"/>
      <c r="F58" s="215"/>
      <c r="G58" s="216"/>
      <c r="H58" s="661"/>
      <c r="I58" s="661">
        <v>0</v>
      </c>
      <c r="J58" s="661">
        <v>0</v>
      </c>
      <c r="K58" s="661">
        <v>2444.88</v>
      </c>
      <c r="L58" s="661">
        <v>22312.62</v>
      </c>
      <c r="M58" s="686"/>
      <c r="N58" s="82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</row>
    <row r="59" spans="2:51" ht="15">
      <c r="B59" s="82"/>
      <c r="C59" s="680"/>
      <c r="D59" s="516" t="s">
        <v>132</v>
      </c>
      <c r="E59" s="211"/>
      <c r="F59" s="211"/>
      <c r="G59" s="212"/>
      <c r="H59" s="658"/>
      <c r="I59" s="658">
        <v>0</v>
      </c>
      <c r="J59" s="658">
        <v>24000</v>
      </c>
      <c r="K59" s="658">
        <v>24000</v>
      </c>
      <c r="L59" s="658">
        <v>24000</v>
      </c>
      <c r="M59" s="686"/>
      <c r="N59" s="82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</row>
    <row r="60" spans="2:51" ht="15">
      <c r="B60" s="82"/>
      <c r="C60" s="680"/>
      <c r="D60" s="539" t="s">
        <v>133</v>
      </c>
      <c r="E60" s="360"/>
      <c r="F60" s="360"/>
      <c r="G60" s="361"/>
      <c r="H60" s="670">
        <f>SUM(H61:H62)</f>
        <v>0</v>
      </c>
      <c r="I60" s="670">
        <f t="shared" ref="I60:L60" si="7">SUM(I61:I62)</f>
        <v>545622.38</v>
      </c>
      <c r="J60" s="670">
        <f t="shared" si="7"/>
        <v>329963.55000000005</v>
      </c>
      <c r="K60" s="670">
        <f t="shared" si="7"/>
        <v>300256.98</v>
      </c>
      <c r="L60" s="670">
        <f t="shared" si="7"/>
        <v>135133.06</v>
      </c>
      <c r="M60" s="686"/>
      <c r="N60" s="82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</row>
    <row r="61" spans="2:51" ht="15">
      <c r="B61" s="82"/>
      <c r="C61" s="680"/>
      <c r="D61" s="513" t="s">
        <v>138</v>
      </c>
      <c r="E61" s="211"/>
      <c r="F61" s="211"/>
      <c r="G61" s="212"/>
      <c r="H61" s="658"/>
      <c r="I61" s="658">
        <v>349895.8</v>
      </c>
      <c r="J61" s="658">
        <v>163816.48000000001</v>
      </c>
      <c r="K61" s="658">
        <v>173138.93</v>
      </c>
      <c r="L61" s="658">
        <v>83686.94</v>
      </c>
      <c r="M61" s="686"/>
      <c r="N61" s="82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</row>
    <row r="62" spans="2:51" ht="15">
      <c r="B62" s="82"/>
      <c r="C62" s="680"/>
      <c r="D62" s="540" t="s">
        <v>139</v>
      </c>
      <c r="E62" s="215"/>
      <c r="F62" s="215"/>
      <c r="G62" s="216"/>
      <c r="H62" s="661"/>
      <c r="I62" s="661">
        <v>195726.58</v>
      </c>
      <c r="J62" s="661">
        <v>166147.07</v>
      </c>
      <c r="K62" s="661">
        <v>127118.05</v>
      </c>
      <c r="L62" s="661">
        <v>51446.12</v>
      </c>
      <c r="M62" s="686"/>
      <c r="N62" s="82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</row>
    <row r="63" spans="2:51" ht="15">
      <c r="B63" s="82"/>
      <c r="C63" s="680"/>
      <c r="D63" s="541" t="s">
        <v>103</v>
      </c>
      <c r="E63" s="362"/>
      <c r="F63" s="362"/>
      <c r="G63" s="363"/>
      <c r="H63" s="671"/>
      <c r="I63" s="671">
        <v>0</v>
      </c>
      <c r="J63" s="671">
        <v>0</v>
      </c>
      <c r="K63" s="671">
        <v>0</v>
      </c>
      <c r="L63" s="671">
        <v>0</v>
      </c>
      <c r="M63" s="686"/>
      <c r="N63" s="82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</row>
    <row r="64" spans="2:51" ht="15">
      <c r="B64" s="82"/>
      <c r="C64" s="680"/>
      <c r="D64" s="702" t="s">
        <v>7</v>
      </c>
      <c r="E64" s="703"/>
      <c r="F64" s="703"/>
      <c r="G64" s="703"/>
      <c r="H64" s="672">
        <f>+H28+H43+H52</f>
        <v>0</v>
      </c>
      <c r="I64" s="672">
        <f>+I28+I43+I52</f>
        <v>1331965.19</v>
      </c>
      <c r="J64" s="672">
        <f>+J28+J43+J52</f>
        <v>972537.87</v>
      </c>
      <c r="K64" s="672">
        <f>+K28+K43+K52</f>
        <v>626281.10000000009</v>
      </c>
      <c r="L64" s="678">
        <f>+L28+L43+L52</f>
        <v>353516.70999999996</v>
      </c>
      <c r="M64" s="686"/>
      <c r="N64" s="82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</row>
    <row r="65" spans="2:51" ht="9.9" customHeight="1">
      <c r="B65" s="82"/>
      <c r="C65" s="680"/>
      <c r="D65" s="690"/>
      <c r="E65" s="690"/>
      <c r="F65" s="690"/>
      <c r="G65" s="690"/>
      <c r="H65" s="691"/>
      <c r="I65" s="692"/>
      <c r="J65" s="692"/>
      <c r="K65" s="692"/>
      <c r="L65" s="692"/>
      <c r="M65" s="686"/>
      <c r="N65" s="82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</row>
    <row r="66" spans="2:51" ht="18" customHeight="1">
      <c r="C66" s="220">
        <v>3</v>
      </c>
      <c r="D66" s="700" t="s">
        <v>140</v>
      </c>
      <c r="E66" s="700"/>
      <c r="F66" s="700"/>
      <c r="G66" s="701"/>
      <c r="H66" s="370">
        <f>H27</f>
        <v>2026</v>
      </c>
      <c r="I66" s="370">
        <f>I27</f>
        <v>2025</v>
      </c>
      <c r="J66" s="370">
        <f>J27</f>
        <v>2024</v>
      </c>
      <c r="K66" s="370">
        <f>K27</f>
        <v>2023</v>
      </c>
      <c r="L66" s="370">
        <f>L27</f>
        <v>2022</v>
      </c>
      <c r="M66" s="686"/>
      <c r="N66" s="82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</row>
    <row r="67" spans="2:51" ht="15">
      <c r="B67" s="82"/>
      <c r="C67" s="680"/>
      <c r="D67" s="542" t="s">
        <v>141</v>
      </c>
      <c r="E67" s="366"/>
      <c r="F67" s="366"/>
      <c r="G67" s="367"/>
      <c r="H67" s="673"/>
      <c r="I67" s="673">
        <v>2195209.11</v>
      </c>
      <c r="J67" s="677">
        <v>1708112.33</v>
      </c>
      <c r="K67" s="677">
        <v>1059329.51</v>
      </c>
      <c r="L67" s="677">
        <v>532345.17000000004</v>
      </c>
      <c r="M67" s="686"/>
      <c r="N67" s="82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</row>
    <row r="68" spans="2:51" ht="15">
      <c r="B68" s="82"/>
      <c r="C68" s="680"/>
      <c r="D68" s="543" t="s">
        <v>492</v>
      </c>
      <c r="E68" s="368"/>
      <c r="F68" s="368"/>
      <c r="G68" s="369"/>
      <c r="H68" s="659"/>
      <c r="I68" s="659">
        <v>167831.89</v>
      </c>
      <c r="J68" s="674">
        <v>143782.87</v>
      </c>
      <c r="K68" s="674">
        <v>56258.879999999997</v>
      </c>
      <c r="L68" s="674">
        <v>21045.43</v>
      </c>
      <c r="M68" s="686"/>
      <c r="N68" s="82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</row>
    <row r="69" spans="2:51" ht="15">
      <c r="B69" s="82"/>
      <c r="C69" s="680"/>
      <c r="D69" s="543" t="s">
        <v>493</v>
      </c>
      <c r="E69" s="368"/>
      <c r="F69" s="368"/>
      <c r="G69" s="369"/>
      <c r="H69" s="661"/>
      <c r="I69" s="661">
        <v>1299418.44</v>
      </c>
      <c r="J69" s="675">
        <v>1006972.76</v>
      </c>
      <c r="K69" s="675">
        <v>657725.26</v>
      </c>
      <c r="L69" s="675">
        <v>340054.98</v>
      </c>
      <c r="M69" s="686"/>
      <c r="N69" s="82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</row>
    <row r="70" spans="2:51" ht="9.9" customHeight="1">
      <c r="B70" s="82"/>
      <c r="C70" s="688"/>
      <c r="D70" s="689"/>
      <c r="E70" s="689"/>
      <c r="F70" s="689"/>
      <c r="G70" s="689"/>
      <c r="H70" s="699"/>
      <c r="I70" s="699"/>
      <c r="J70" s="699"/>
      <c r="K70" s="699"/>
      <c r="L70" s="699"/>
      <c r="M70" s="687"/>
      <c r="N70" s="82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</row>
    <row r="71" spans="2:51">
      <c r="B71" s="82"/>
      <c r="C71" s="82"/>
      <c r="D71" s="82"/>
      <c r="E71" s="82"/>
      <c r="F71" s="82"/>
      <c r="G71" s="82"/>
      <c r="H71" s="82"/>
      <c r="I71" s="82"/>
      <c r="J71" s="82"/>
      <c r="K71" s="82"/>
      <c r="L71" s="82"/>
      <c r="M71" s="82"/>
      <c r="N71" s="82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</row>
    <row r="72" spans="2:51">
      <c r="B72" s="50"/>
    </row>
    <row r="73" spans="2:51">
      <c r="B73" s="50"/>
    </row>
    <row r="74" spans="2:51">
      <c r="B74" s="50"/>
    </row>
    <row r="75" spans="2:51">
      <c r="B75" s="50"/>
    </row>
    <row r="76" spans="2:51">
      <c r="B76" s="50"/>
    </row>
    <row r="77" spans="2:51">
      <c r="B77" s="50"/>
    </row>
    <row r="78" spans="2:51">
      <c r="B78" s="50"/>
    </row>
    <row r="79" spans="2:51">
      <c r="B79" s="50"/>
    </row>
    <row r="80" spans="2:51">
      <c r="B80" s="50"/>
    </row>
    <row r="81" spans="2:2">
      <c r="B81" s="50"/>
    </row>
    <row r="82" spans="2:2">
      <c r="B82" s="50"/>
    </row>
    <row r="83" spans="2:2">
      <c r="B83" s="50"/>
    </row>
    <row r="84" spans="2:2">
      <c r="B84" s="50"/>
    </row>
    <row r="85" spans="2:2">
      <c r="B85" s="50"/>
    </row>
    <row r="86" spans="2:2">
      <c r="B86" s="50"/>
    </row>
    <row r="87" spans="2:2">
      <c r="B87" s="50"/>
    </row>
    <row r="88" spans="2:2">
      <c r="B88" s="50"/>
    </row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</sheetData>
  <sheetProtection sheet="1" objects="1" scenarios="1" formatCells="0" formatColumns="0" formatRows="0" insertRows="0" deleteColumns="0" deleteRows="0"/>
  <mergeCells count="12">
    <mergeCell ref="H70:L70"/>
    <mergeCell ref="D66:G66"/>
    <mergeCell ref="D64:G64"/>
    <mergeCell ref="D52:G52"/>
    <mergeCell ref="C3:M3"/>
    <mergeCell ref="D28:G28"/>
    <mergeCell ref="D43:G43"/>
    <mergeCell ref="D6:G6"/>
    <mergeCell ref="D7:G7"/>
    <mergeCell ref="D14:G14"/>
    <mergeCell ref="D25:G25"/>
    <mergeCell ref="D27:G27"/>
  </mergeCells>
  <phoneticPr fontId="3" type="noConversion"/>
  <printOptions horizontalCentered="1" verticalCentered="1"/>
  <pageMargins left="0.39370078740157483" right="0.39370078740157483" top="0.39370078740157483" bottom="0.39370078740157483" header="0" footer="0"/>
  <pageSetup paperSize="9" scale="75" orientation="portrait" horizontalDpi="4294967292" r:id="rId1"/>
  <headerFooter alignWithMargins="0"/>
  <ignoredErrors>
    <ignoredError sqref="I6:L6" unlockedFormula="1"/>
    <ignoredError sqref="H17 H45:L45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8"/>
  </sheetPr>
  <dimension ref="B1:I87"/>
  <sheetViews>
    <sheetView showGridLines="0" showRowColHeaders="0" workbookViewId="0">
      <pane ySplit="1" topLeftCell="A2" activePane="bottomLeft" state="frozen"/>
      <selection pane="bottomLeft" activeCell="I6" sqref="I6"/>
    </sheetView>
  </sheetViews>
  <sheetFormatPr baseColWidth="10" defaultRowHeight="13.2"/>
  <cols>
    <col min="1" max="1" width="41.109375" customWidth="1"/>
    <col min="2" max="2" width="33.88671875" customWidth="1"/>
    <col min="3" max="7" width="11.6640625" bestFit="1" customWidth="1"/>
  </cols>
  <sheetData>
    <row r="1" spans="2:9">
      <c r="B1" s="102"/>
      <c r="C1" s="344">
        <f>INICIO!K5</f>
        <v>2026</v>
      </c>
      <c r="D1" s="344">
        <f>DATOS!I6</f>
        <v>2025</v>
      </c>
      <c r="E1" s="344">
        <f>DATOS!J6</f>
        <v>2024</v>
      </c>
      <c r="F1" s="344">
        <f>DATOS!K6</f>
        <v>2023</v>
      </c>
      <c r="G1" s="344">
        <f>DATOS!L6</f>
        <v>2022</v>
      </c>
      <c r="H1" s="102"/>
      <c r="I1" s="102"/>
    </row>
    <row r="2" spans="2:9">
      <c r="B2" t="s">
        <v>11</v>
      </c>
      <c r="C2" s="4"/>
      <c r="D2" s="4"/>
      <c r="E2" s="4"/>
      <c r="F2" s="4"/>
      <c r="G2" s="4"/>
    </row>
    <row r="3" spans="2:9">
      <c r="C3" s="4"/>
      <c r="D3" s="4"/>
      <c r="E3" s="4"/>
      <c r="F3" s="4"/>
      <c r="G3" s="4"/>
    </row>
    <row r="4" spans="2:9">
      <c r="B4" s="10" t="s">
        <v>33</v>
      </c>
      <c r="C4" s="5">
        <f>+DATOS!H8+DATOS!H9</f>
        <v>0</v>
      </c>
      <c r="D4" s="5">
        <f>+DATOS!I8+DATOS!I9</f>
        <v>485501.60000000003</v>
      </c>
      <c r="E4" s="5">
        <f>+DATOS!J8+DATOS!J9</f>
        <v>387976.57999999996</v>
      </c>
      <c r="F4" s="5">
        <f>+DATOS!K8+DATOS!K9</f>
        <v>146052.87</v>
      </c>
      <c r="G4" s="6">
        <f>+DATOS!L8+DATOS!L9</f>
        <v>61147.98</v>
      </c>
    </row>
    <row r="5" spans="2:9">
      <c r="B5" s="11" t="s">
        <v>67</v>
      </c>
      <c r="C5" s="4">
        <f>+DATOS!H10+DATOS!H11+DATOS!H12</f>
        <v>0</v>
      </c>
      <c r="D5" s="4">
        <f>+DATOS!I10+DATOS!I11+DATOS!I12</f>
        <v>3000</v>
      </c>
      <c r="E5" s="4">
        <f>+DATOS!J10+DATOS!J11+DATOS!J12</f>
        <v>3000</v>
      </c>
      <c r="F5" s="4">
        <f>+DATOS!K10+DATOS!K11+DATOS!K12</f>
        <v>0</v>
      </c>
      <c r="G5" s="7">
        <f>+DATOS!L10+DATOS!L11+DATOS!L12</f>
        <v>0</v>
      </c>
    </row>
    <row r="6" spans="2:9">
      <c r="B6" s="12" t="s">
        <v>34</v>
      </c>
      <c r="C6" s="8">
        <f>+DATOS!H13</f>
        <v>0</v>
      </c>
      <c r="D6" s="8">
        <f>+DATOS!I13</f>
        <v>0</v>
      </c>
      <c r="E6" s="8">
        <f>+DATOS!J13</f>
        <v>0</v>
      </c>
      <c r="F6" s="8">
        <f>+DATOS!K13</f>
        <v>0</v>
      </c>
      <c r="G6" s="9">
        <f>+DATOS!L13</f>
        <v>0</v>
      </c>
    </row>
    <row r="7" spans="2:9">
      <c r="B7" s="14" t="s">
        <v>20</v>
      </c>
      <c r="C7" s="15">
        <f>SUM(C4:C6)</f>
        <v>0</v>
      </c>
      <c r="D7" s="15">
        <f>SUM(D4:D6)</f>
        <v>488501.60000000003</v>
      </c>
      <c r="E7" s="15">
        <f>SUM(E4:E6)</f>
        <v>390976.57999999996</v>
      </c>
      <c r="F7" s="15">
        <f>SUM(F4:F6)</f>
        <v>146052.87</v>
      </c>
      <c r="G7" s="16">
        <f>SUM(G4:G6)</f>
        <v>61147.98</v>
      </c>
    </row>
    <row r="8" spans="2:9">
      <c r="B8" s="13"/>
      <c r="C8" s="4"/>
      <c r="D8" s="4"/>
      <c r="E8" s="4"/>
      <c r="F8" s="4"/>
      <c r="G8" s="7"/>
    </row>
    <row r="9" spans="2:9">
      <c r="B9" s="10" t="s">
        <v>14</v>
      </c>
      <c r="C9" s="5">
        <f>+DATOS!H16+DATOS!H15</f>
        <v>0</v>
      </c>
      <c r="D9" s="5">
        <f>+DATOS!I16+DATOS!I15</f>
        <v>241085.05</v>
      </c>
      <c r="E9" s="5">
        <f>+DATOS!J16+DATOS!J15</f>
        <v>180801.13</v>
      </c>
      <c r="F9" s="5">
        <f>+DATOS!K16+DATOS!K15</f>
        <v>171516.07</v>
      </c>
      <c r="G9" s="6">
        <f>+DATOS!L16+DATOS!L15</f>
        <v>117928.7</v>
      </c>
    </row>
    <row r="10" spans="2:9">
      <c r="B10" s="11" t="s">
        <v>47</v>
      </c>
      <c r="C10" s="4">
        <f>+DATOS!H18</f>
        <v>0</v>
      </c>
      <c r="D10" s="4">
        <f>+DATOS!I18</f>
        <v>529680.41</v>
      </c>
      <c r="E10" s="4">
        <f>+DATOS!J18</f>
        <v>305951.02</v>
      </c>
      <c r="F10" s="4">
        <f>+DATOS!K18</f>
        <v>237479.15</v>
      </c>
      <c r="G10" s="7">
        <f>+DATOS!L18</f>
        <v>133438.68</v>
      </c>
    </row>
    <row r="11" spans="2:9">
      <c r="B11" s="11" t="s">
        <v>68</v>
      </c>
      <c r="C11" s="4">
        <f>+DATOS!H19+DATOS!H20</f>
        <v>0</v>
      </c>
      <c r="D11" s="4">
        <f>+DATOS!I19+DATOS!I20</f>
        <v>0</v>
      </c>
      <c r="E11" s="4">
        <f>+DATOS!J19+DATOS!J20</f>
        <v>13126.89</v>
      </c>
      <c r="F11" s="4">
        <f>+DATOS!K19+DATOS!K20</f>
        <v>0</v>
      </c>
      <c r="G11" s="7">
        <f>+DATOS!L19+DATOS!L20</f>
        <v>15514.38</v>
      </c>
    </row>
    <row r="12" spans="2:9">
      <c r="B12" s="11" t="s">
        <v>144</v>
      </c>
      <c r="C12" s="4">
        <f>+DATOS!H21+DATOS!H22</f>
        <v>0</v>
      </c>
      <c r="D12" s="4">
        <f>+DATOS!I21+DATOS!I22</f>
        <v>0</v>
      </c>
      <c r="E12" s="4">
        <f>+DATOS!J21+DATOS!J22</f>
        <v>0</v>
      </c>
      <c r="F12" s="4">
        <f>+DATOS!K21+DATOS!K22</f>
        <v>0</v>
      </c>
      <c r="G12" s="7">
        <f>+DATOS!L21+DATOS!L22</f>
        <v>0</v>
      </c>
    </row>
    <row r="13" spans="2:9">
      <c r="B13" s="11" t="s">
        <v>35</v>
      </c>
      <c r="C13" s="4">
        <f>+DATOS!H23</f>
        <v>0</v>
      </c>
      <c r="D13" s="4">
        <f>+DATOS!I23</f>
        <v>0</v>
      </c>
      <c r="E13" s="4">
        <f>+DATOS!J23</f>
        <v>0</v>
      </c>
      <c r="F13" s="4">
        <f>+DATOS!K23</f>
        <v>0</v>
      </c>
      <c r="G13" s="7">
        <f>+DATOS!L23</f>
        <v>739.94</v>
      </c>
    </row>
    <row r="14" spans="2:9">
      <c r="B14" s="12" t="s">
        <v>36</v>
      </c>
      <c r="C14" s="8">
        <f>+DATOS!H24</f>
        <v>0</v>
      </c>
      <c r="D14" s="8">
        <f>+DATOS!I24</f>
        <v>72698.13</v>
      </c>
      <c r="E14" s="8">
        <f>+DATOS!J24</f>
        <v>81682.25</v>
      </c>
      <c r="F14" s="8">
        <f>+DATOS!K24</f>
        <v>71215.009999999995</v>
      </c>
      <c r="G14" s="9">
        <f>+DATOS!L24</f>
        <v>24747.03</v>
      </c>
    </row>
    <row r="15" spans="2:9">
      <c r="B15" s="10" t="s">
        <v>17</v>
      </c>
      <c r="C15" s="5">
        <f>SUM(C9:C14)</f>
        <v>0</v>
      </c>
      <c r="D15" s="5">
        <f>SUM(D9:D14)</f>
        <v>843463.59</v>
      </c>
      <c r="E15" s="5">
        <f>SUM(E9:E14)</f>
        <v>581561.29</v>
      </c>
      <c r="F15" s="5">
        <f>SUM(F9:F14)</f>
        <v>480210.23</v>
      </c>
      <c r="G15" s="6">
        <f>SUM(G9:G14)</f>
        <v>292368.73</v>
      </c>
    </row>
    <row r="16" spans="2:9">
      <c r="B16" s="10" t="s">
        <v>26</v>
      </c>
      <c r="C16" s="5">
        <f>+C9</f>
        <v>0</v>
      </c>
      <c r="D16" s="5">
        <f>+D9</f>
        <v>241085.05</v>
      </c>
      <c r="E16" s="5">
        <f>+E9</f>
        <v>180801.13</v>
      </c>
      <c r="F16" s="5">
        <f>+F9</f>
        <v>171516.07</v>
      </c>
      <c r="G16" s="6">
        <f>+G9</f>
        <v>117928.7</v>
      </c>
    </row>
    <row r="17" spans="2:7">
      <c r="B17" s="11" t="s">
        <v>27</v>
      </c>
      <c r="C17" s="4">
        <f>+C13+C12+C10+C11</f>
        <v>0</v>
      </c>
      <c r="D17" s="4">
        <f>+D13+D12+D10+D11</f>
        <v>529680.41</v>
      </c>
      <c r="E17" s="4">
        <f>+E13+E12+E10+E11</f>
        <v>319077.91000000003</v>
      </c>
      <c r="F17" s="4">
        <f>+F13+F12+F10+F11</f>
        <v>237479.15</v>
      </c>
      <c r="G17" s="7">
        <f>+G13+G12+G10+G11</f>
        <v>149693</v>
      </c>
    </row>
    <row r="18" spans="2:7">
      <c r="B18" s="12" t="s">
        <v>28</v>
      </c>
      <c r="C18" s="8">
        <f>+C14</f>
        <v>0</v>
      </c>
      <c r="D18" s="8">
        <f>+D14</f>
        <v>72698.13</v>
      </c>
      <c r="E18" s="8">
        <f>+E14</f>
        <v>81682.25</v>
      </c>
      <c r="F18" s="8">
        <f>+F14</f>
        <v>71215.009999999995</v>
      </c>
      <c r="G18" s="9">
        <f>+G14</f>
        <v>24747.03</v>
      </c>
    </row>
    <row r="19" spans="2:7">
      <c r="B19" s="13" t="s">
        <v>13</v>
      </c>
      <c r="C19" s="4"/>
      <c r="D19" s="4"/>
      <c r="E19" s="4"/>
      <c r="F19" s="4"/>
      <c r="G19" s="7"/>
    </row>
    <row r="20" spans="2:7">
      <c r="B20" s="14"/>
      <c r="C20" s="15">
        <f>+C15+C7</f>
        <v>0</v>
      </c>
      <c r="D20" s="15">
        <f>+D15+D7</f>
        <v>1331965.19</v>
      </c>
      <c r="E20" s="15">
        <f>+E15+E7</f>
        <v>972537.87</v>
      </c>
      <c r="F20" s="15">
        <f>+F15+F7</f>
        <v>626263.1</v>
      </c>
      <c r="G20" s="16">
        <f>+G15+G7</f>
        <v>353516.70999999996</v>
      </c>
    </row>
    <row r="21" spans="2:7">
      <c r="B21" s="13"/>
      <c r="C21" s="4"/>
      <c r="D21" s="4"/>
      <c r="E21" s="4"/>
      <c r="F21" s="4"/>
      <c r="G21" s="7"/>
    </row>
    <row r="22" spans="2:7">
      <c r="B22" s="13" t="s">
        <v>18</v>
      </c>
      <c r="C22" s="4"/>
      <c r="D22" s="4"/>
      <c r="E22" s="4"/>
      <c r="F22" s="4"/>
      <c r="G22" s="7"/>
    </row>
    <row r="23" spans="2:7">
      <c r="B23" s="10" t="s">
        <v>23</v>
      </c>
      <c r="C23" s="5">
        <f>+DATOS!H31+DATOS!H32</f>
        <v>0</v>
      </c>
      <c r="D23" s="5">
        <f>+DATOS!I31+DATOS!I32</f>
        <v>24000</v>
      </c>
      <c r="E23" s="5">
        <f>+DATOS!J31+DATOS!J32</f>
        <v>24000</v>
      </c>
      <c r="F23" s="5">
        <f>+DATOS!K31+DATOS!K32</f>
        <v>24000</v>
      </c>
      <c r="G23" s="6">
        <f>+DATOS!L31+DATOS!L32</f>
        <v>24000</v>
      </c>
    </row>
    <row r="24" spans="2:7">
      <c r="B24" s="11" t="s">
        <v>52</v>
      </c>
      <c r="C24" s="4">
        <f>+DATOS!H33+DATOS!H34+DATOS!H35+DATOS!H36+DATOS!H37+DATOS!H38+DATOS!H39+DATOS!H40+DATOS!H42</f>
        <v>0</v>
      </c>
      <c r="D24" s="4">
        <f>+DATOS!I33+DATOS!I34+DATOS!I35+DATOS!I36+DATOS!I37+DATOS!I38+DATOS!I39+DATOS!I40+DATOS!I42</f>
        <v>456121.58</v>
      </c>
      <c r="E24" s="4">
        <f>+DATOS!J33+DATOS!J34+DATOS!J35+DATOS!J36+DATOS!J37+DATOS!J38+DATOS!J39+DATOS!J40+DATOS!J42</f>
        <v>288289.69</v>
      </c>
      <c r="F24" s="4">
        <f>+DATOS!K33+DATOS!K34+DATOS!K35+DATOS!K36+DATOS!K37+DATOS!K38+DATOS!K39+DATOS!K40+DATOS!K42</f>
        <v>145493.1</v>
      </c>
      <c r="G24" s="7">
        <f>+DATOS!L33+DATOS!L34+DATOS!L35+DATOS!L36+DATOS!L37+DATOS!L38+DATOS!L39+DATOS!L40+DATOS!L42</f>
        <v>89234.22</v>
      </c>
    </row>
    <row r="25" spans="2:7">
      <c r="B25" s="12" t="s">
        <v>29</v>
      </c>
      <c r="C25" s="8">
        <f>+DATOS!H41</f>
        <v>0</v>
      </c>
      <c r="D25" s="8">
        <f>+DATOS!I41</f>
        <v>0</v>
      </c>
      <c r="E25" s="8">
        <f>+DATOS!J41</f>
        <v>0</v>
      </c>
      <c r="F25" s="8">
        <f>+DATOS!K41</f>
        <v>0</v>
      </c>
      <c r="G25" s="9">
        <f>+DATOS!L41</f>
        <v>0</v>
      </c>
    </row>
    <row r="26" spans="2:7">
      <c r="B26" s="12" t="s">
        <v>39</v>
      </c>
      <c r="C26" s="8">
        <f>SUM(C23:C25)</f>
        <v>0</v>
      </c>
      <c r="D26" s="8">
        <f>SUM(D23:D25)</f>
        <v>480121.58</v>
      </c>
      <c r="E26" s="8">
        <f>SUM(E23:E25)</f>
        <v>312289.69</v>
      </c>
      <c r="F26" s="8">
        <f>SUM(F23:F25)</f>
        <v>169493.1</v>
      </c>
      <c r="G26" s="9">
        <f>SUM(G23:G25)</f>
        <v>113234.22</v>
      </c>
    </row>
    <row r="27" spans="2:7">
      <c r="B27" s="13"/>
      <c r="C27" s="4"/>
      <c r="D27" s="4"/>
      <c r="E27" s="4"/>
      <c r="F27" s="4"/>
      <c r="G27" s="7"/>
    </row>
    <row r="28" spans="2:7">
      <c r="B28" s="13" t="s">
        <v>21</v>
      </c>
      <c r="C28" s="4"/>
      <c r="D28" s="4"/>
      <c r="E28" s="4"/>
      <c r="F28" s="4"/>
      <c r="G28" s="7"/>
    </row>
    <row r="29" spans="2:7">
      <c r="B29" s="10" t="s">
        <v>37</v>
      </c>
      <c r="C29" s="5">
        <f>+DATOS!H44</f>
        <v>0</v>
      </c>
      <c r="D29" s="5">
        <f>+DATOS!I44</f>
        <v>0</v>
      </c>
      <c r="E29" s="5">
        <f>+DATOS!J44</f>
        <v>0</v>
      </c>
      <c r="F29" s="5">
        <f>+DATOS!K44</f>
        <v>0</v>
      </c>
      <c r="G29" s="6">
        <f>+DATOS!L44</f>
        <v>0</v>
      </c>
    </row>
    <row r="30" spans="2:7">
      <c r="B30" s="11" t="s">
        <v>69</v>
      </c>
      <c r="C30" s="4">
        <f>+DATOS!H46+DATOS!H47</f>
        <v>0</v>
      </c>
      <c r="D30" s="4">
        <f>+DATOS!I46+DATOS!I47</f>
        <v>251229</v>
      </c>
      <c r="E30" s="4">
        <f>+DATOS!J46+DATOS!J47</f>
        <v>268227.99</v>
      </c>
      <c r="F30" s="4">
        <f>+DATOS!K46+DATOS!K47</f>
        <v>119104.82</v>
      </c>
      <c r="G30" s="7">
        <f>+DATOS!L46+DATOS!L47</f>
        <v>46257.020000000004</v>
      </c>
    </row>
    <row r="31" spans="2:7">
      <c r="B31" s="11" t="s">
        <v>239</v>
      </c>
      <c r="C31" s="4">
        <f>+DATOS!H48+DATOS!H49</f>
        <v>0</v>
      </c>
      <c r="D31" s="4">
        <f>+DATOS!I48+DATOS!I49</f>
        <v>0</v>
      </c>
      <c r="E31" s="4">
        <f>+DATOS!J48+DATOS!J49</f>
        <v>0</v>
      </c>
      <c r="F31" s="4">
        <f>+DATOS!K48+DATOS!K49</f>
        <v>0</v>
      </c>
      <c r="G31" s="7">
        <f>+DATOS!L48+DATOS!L49</f>
        <v>0</v>
      </c>
    </row>
    <row r="32" spans="2:7">
      <c r="B32" s="12" t="s">
        <v>38</v>
      </c>
      <c r="C32" s="8">
        <f>+DATOS!H50+DATOS!H51</f>
        <v>0</v>
      </c>
      <c r="D32" s="8">
        <f>+DATOS!I50+DATOS!I51</f>
        <v>0</v>
      </c>
      <c r="E32" s="8">
        <f>+DATOS!J50+DATOS!J51</f>
        <v>0</v>
      </c>
      <c r="F32" s="8">
        <f>+DATOS!K50+DATOS!K51</f>
        <v>0</v>
      </c>
      <c r="G32" s="9">
        <f>+DATOS!L50+DATOS!L51</f>
        <v>0</v>
      </c>
    </row>
    <row r="33" spans="2:7">
      <c r="B33" s="14" t="s">
        <v>21</v>
      </c>
      <c r="C33" s="15">
        <f>SUM(C29:C32)</f>
        <v>0</v>
      </c>
      <c r="D33" s="15">
        <f>SUM(D29:D32)</f>
        <v>251229</v>
      </c>
      <c r="E33" s="15">
        <f>SUM(E29:E32)</f>
        <v>268227.99</v>
      </c>
      <c r="F33" s="15">
        <f>SUM(F29:F32)</f>
        <v>119104.82</v>
      </c>
      <c r="G33" s="16">
        <f>SUM(G29:G32)</f>
        <v>46257.020000000004</v>
      </c>
    </row>
    <row r="34" spans="2:7">
      <c r="B34" s="13"/>
      <c r="C34" s="4"/>
      <c r="D34" s="4"/>
      <c r="E34" s="4"/>
      <c r="F34" s="4"/>
      <c r="G34" s="7"/>
    </row>
    <row r="35" spans="2:7">
      <c r="B35" s="13" t="s">
        <v>22</v>
      </c>
      <c r="C35" s="4"/>
      <c r="D35" s="4"/>
      <c r="E35" s="4"/>
      <c r="F35" s="4"/>
      <c r="G35" s="7"/>
    </row>
    <row r="36" spans="2:7">
      <c r="B36" s="10" t="s">
        <v>37</v>
      </c>
      <c r="C36" s="5">
        <f>+DATOS!H54</f>
        <v>0</v>
      </c>
      <c r="D36" s="5">
        <f>+DATOS!I54</f>
        <v>0</v>
      </c>
      <c r="E36" s="5">
        <f>+DATOS!J54</f>
        <v>0</v>
      </c>
      <c r="F36" s="5">
        <f>+DATOS!K54</f>
        <v>0</v>
      </c>
      <c r="G36" s="6">
        <f>+DATOS!L54</f>
        <v>0</v>
      </c>
    </row>
    <row r="37" spans="2:7">
      <c r="B37" s="11" t="s">
        <v>70</v>
      </c>
      <c r="C37" s="4">
        <f>+DATOS!H56+DATOS!H57</f>
        <v>0</v>
      </c>
      <c r="D37" s="4">
        <f>+DATOS!I56+DATOS!I57</f>
        <v>54992.229999999996</v>
      </c>
      <c r="E37" s="4">
        <f>+DATOS!J56+DATOS!J57</f>
        <v>38056.639999999999</v>
      </c>
      <c r="F37" s="4">
        <f>+DATOS!K56+DATOS!K57</f>
        <v>10981.32</v>
      </c>
      <c r="G37" s="7">
        <f>+DATOS!L56+DATOS!L57</f>
        <v>12579.789999999999</v>
      </c>
    </row>
    <row r="38" spans="2:7">
      <c r="B38" s="11" t="s">
        <v>201</v>
      </c>
      <c r="C38" s="4">
        <f>+DATOS!H53+DATOS!H58</f>
        <v>0</v>
      </c>
      <c r="D38" s="4">
        <f>+DATOS!I53+DATOS!I58</f>
        <v>0</v>
      </c>
      <c r="E38" s="4">
        <f>+DATOS!J53+DATOS!J58</f>
        <v>0</v>
      </c>
      <c r="F38" s="4">
        <f>+DATOS!K53+DATOS!K58</f>
        <v>2444.88</v>
      </c>
      <c r="G38" s="7">
        <f>+DATOS!L53+DATOS!L58</f>
        <v>22312.62</v>
      </c>
    </row>
    <row r="39" spans="2:7">
      <c r="B39" s="11" t="s">
        <v>49</v>
      </c>
      <c r="C39" s="4">
        <f>+DATOS!H61</f>
        <v>0</v>
      </c>
      <c r="D39" s="4">
        <f>+DATOS!I61</f>
        <v>349895.8</v>
      </c>
      <c r="E39" s="4">
        <f>+DATOS!J61</f>
        <v>163816.48000000001</v>
      </c>
      <c r="F39" s="4">
        <f>+DATOS!K61</f>
        <v>173138.93</v>
      </c>
      <c r="G39" s="7">
        <f>+DATOS!L61</f>
        <v>83686.94</v>
      </c>
    </row>
    <row r="40" spans="2:7">
      <c r="B40" s="11" t="s">
        <v>238</v>
      </c>
      <c r="C40" s="4">
        <f>+DATOS!H62+DATOS!H59</f>
        <v>0</v>
      </c>
      <c r="D40" s="4">
        <f>+DATOS!I62+DATOS!I59</f>
        <v>195726.58</v>
      </c>
      <c r="E40" s="4">
        <f>+DATOS!J62+DATOS!J59</f>
        <v>190147.07</v>
      </c>
      <c r="F40" s="4">
        <f>+DATOS!K62+DATOS!K59</f>
        <v>151118.04999999999</v>
      </c>
      <c r="G40" s="7">
        <f>+DATOS!L62+DATOS!L59</f>
        <v>75446.12</v>
      </c>
    </row>
    <row r="41" spans="2:7">
      <c r="B41" s="12" t="s">
        <v>35</v>
      </c>
      <c r="C41" s="8">
        <f>+DATOS!H63</f>
        <v>0</v>
      </c>
      <c r="D41" s="8">
        <f>+DATOS!I63</f>
        <v>0</v>
      </c>
      <c r="E41" s="8">
        <f>+DATOS!J63</f>
        <v>0</v>
      </c>
      <c r="F41" s="8">
        <f>+DATOS!K63</f>
        <v>0</v>
      </c>
      <c r="G41" s="9">
        <f>+DATOS!L63</f>
        <v>0</v>
      </c>
    </row>
    <row r="42" spans="2:7">
      <c r="B42" s="14" t="s">
        <v>22</v>
      </c>
      <c r="C42" s="15">
        <f>SUM(C36:C41)</f>
        <v>0</v>
      </c>
      <c r="D42" s="15">
        <f>SUM(D36:D41)</f>
        <v>600614.61</v>
      </c>
      <c r="E42" s="15">
        <f>SUM(E36:E41)</f>
        <v>392020.19</v>
      </c>
      <c r="F42" s="15">
        <f>SUM(F36:F41)</f>
        <v>337683.18</v>
      </c>
      <c r="G42" s="16">
        <f>SUM(G36:G41)</f>
        <v>194025.47</v>
      </c>
    </row>
    <row r="43" spans="2:7">
      <c r="B43" s="13"/>
      <c r="C43" s="4"/>
      <c r="D43" s="4"/>
      <c r="E43" s="4"/>
      <c r="F43" s="4"/>
      <c r="G43" s="7"/>
    </row>
    <row r="44" spans="2:7">
      <c r="B44" s="14" t="s">
        <v>40</v>
      </c>
      <c r="C44" s="15">
        <f>+C42+C33</f>
        <v>0</v>
      </c>
      <c r="D44" s="15">
        <f>+D42+D33</f>
        <v>851843.61</v>
      </c>
      <c r="E44" s="15">
        <f>+E42+E33</f>
        <v>660248.17999999993</v>
      </c>
      <c r="F44" s="15">
        <f>+F42+F33</f>
        <v>456788</v>
      </c>
      <c r="G44" s="16">
        <f>+G42+G33</f>
        <v>240282.49</v>
      </c>
    </row>
    <row r="45" spans="2:7">
      <c r="B45" s="13" t="s">
        <v>41</v>
      </c>
      <c r="C45" s="4"/>
      <c r="D45" s="4"/>
      <c r="E45" s="4"/>
      <c r="F45" s="4"/>
      <c r="G45" s="7"/>
    </row>
    <row r="46" spans="2:7">
      <c r="B46" s="14" t="s">
        <v>41</v>
      </c>
      <c r="C46" s="15">
        <f>+C44+C26</f>
        <v>0</v>
      </c>
      <c r="D46" s="15">
        <f>+D44+D26</f>
        <v>1331965.19</v>
      </c>
      <c r="E46" s="15">
        <f>+E44+E26</f>
        <v>972537.86999999988</v>
      </c>
      <c r="F46" s="15">
        <f>+F44+F26</f>
        <v>626281.1</v>
      </c>
      <c r="G46" s="16">
        <f>+G44+G26</f>
        <v>353516.70999999996</v>
      </c>
    </row>
    <row r="47" spans="2:7">
      <c r="B47" s="13"/>
      <c r="G47" s="19"/>
    </row>
    <row r="48" spans="2:7">
      <c r="B48" s="13" t="s">
        <v>46</v>
      </c>
      <c r="G48" s="19"/>
    </row>
    <row r="49" spans="2:9">
      <c r="B49" s="10" t="s">
        <v>44</v>
      </c>
      <c r="C49" s="5">
        <f>ROUND(C20,0)</f>
        <v>0</v>
      </c>
      <c r="D49" s="5">
        <f>ROUND(D20,0)</f>
        <v>1331965</v>
      </c>
      <c r="E49" s="5">
        <f>ROUND(E20,0)</f>
        <v>972538</v>
      </c>
      <c r="F49" s="5">
        <f>ROUND(F20,0)</f>
        <v>626263</v>
      </c>
      <c r="G49" s="6">
        <f>ROUND(G20,0)</f>
        <v>353517</v>
      </c>
    </row>
    <row r="50" spans="2:9">
      <c r="B50" s="11" t="s">
        <v>45</v>
      </c>
      <c r="C50" s="4">
        <f>ROUND(C46,0)</f>
        <v>0</v>
      </c>
      <c r="D50" s="4">
        <f>ROUND(D46,0)</f>
        <v>1331965</v>
      </c>
      <c r="E50" s="4">
        <f>ROUND(E46,0)</f>
        <v>972538</v>
      </c>
      <c r="F50" s="4">
        <f>ROUND(F46,0)</f>
        <v>626281</v>
      </c>
      <c r="G50" s="7">
        <f>ROUND(G46,0)</f>
        <v>353517</v>
      </c>
    </row>
    <row r="51" spans="2:9">
      <c r="B51" s="12" t="s">
        <v>42</v>
      </c>
      <c r="C51" s="17" t="str">
        <f>IF(C50=C49,"OK","NO")</f>
        <v>OK</v>
      </c>
      <c r="D51" s="17" t="str">
        <f>IF(D50=D49,"OK","NO")</f>
        <v>OK</v>
      </c>
      <c r="E51" s="17" t="str">
        <f>IF(E50=E49,"OK","NO")</f>
        <v>OK</v>
      </c>
      <c r="F51" s="17" t="str">
        <f>IF(F50=F49,"OK","NO")</f>
        <v>NO</v>
      </c>
      <c r="G51" s="18" t="str">
        <f>IF(G50=G49,"OK","NO")</f>
        <v>OK</v>
      </c>
    </row>
    <row r="52" spans="2:9">
      <c r="B52" s="20" t="s">
        <v>43</v>
      </c>
    </row>
    <row r="53" spans="2:9">
      <c r="B53" s="13"/>
    </row>
    <row r="54" spans="2:9">
      <c r="B54" s="14" t="s">
        <v>202</v>
      </c>
      <c r="C54" s="15">
        <f>+C15-C42</f>
        <v>0</v>
      </c>
      <c r="D54" s="15">
        <f>+D15-D42</f>
        <v>242848.97999999998</v>
      </c>
      <c r="E54" s="15">
        <f>+E15-E42</f>
        <v>189541.10000000003</v>
      </c>
      <c r="F54" s="15">
        <f>+F15-F42</f>
        <v>142527.04999999999</v>
      </c>
      <c r="G54" s="15">
        <f>+G15-G42</f>
        <v>98343.25999999998</v>
      </c>
    </row>
    <row r="55" spans="2:9">
      <c r="B55" s="13"/>
    </row>
    <row r="56" spans="2:9">
      <c r="B56" s="10" t="s">
        <v>57</v>
      </c>
      <c r="C56" s="31">
        <f>IF(C42=0,0,C15/C42)</f>
        <v>0</v>
      </c>
      <c r="D56" s="31">
        <f>IF(D42=0,0,D15/D42)</f>
        <v>1.4043341203438258</v>
      </c>
      <c r="E56" s="31">
        <f>IF(E42=0,0,E15/E42)</f>
        <v>1.483498311655836</v>
      </c>
      <c r="F56" s="31">
        <f>IF(F42=0,0,F15/F42)</f>
        <v>1.4220732877485931</v>
      </c>
      <c r="G56" s="32">
        <f>IF(G42=0,0,G15/G42)</f>
        <v>1.5068574759798288</v>
      </c>
      <c r="H56" s="21"/>
      <c r="I56" s="21"/>
    </row>
    <row r="57" spans="2:9">
      <c r="B57" s="11" t="s">
        <v>58</v>
      </c>
      <c r="C57" s="29">
        <f>IF(C42=0,0,(C18+C17)/C42)</f>
        <v>0</v>
      </c>
      <c r="D57" s="29">
        <f>IF(D42=0,0,(D18+D17)/D42)</f>
        <v>1.002936874945483</v>
      </c>
      <c r="E57" s="29">
        <f>IF(E42=0,0,(E18+E17)/E42)</f>
        <v>1.0222946935462687</v>
      </c>
      <c r="F57" s="29">
        <f>IF(F42=0,0,(F18+F17)/F42)</f>
        <v>0.91415320123436405</v>
      </c>
      <c r="G57" s="30">
        <f>IF(G42=0,0,(G18+G17)/G42)</f>
        <v>0.89905737633311744</v>
      </c>
      <c r="H57" s="21"/>
      <c r="I57" s="21"/>
    </row>
    <row r="58" spans="2:9">
      <c r="B58" s="11" t="s">
        <v>59</v>
      </c>
      <c r="C58" s="29">
        <f>IF(C42=0,0,C18/C42)</f>
        <v>0</v>
      </c>
      <c r="D58" s="29">
        <f>IF(D42=0,0,D18/D42)</f>
        <v>0.12103956312351444</v>
      </c>
      <c r="E58" s="29">
        <f>IF(E42=0,0,E18/E42)</f>
        <v>0.20836235501033759</v>
      </c>
      <c r="F58" s="29">
        <f>IF(F42=0,0,F18/F42)</f>
        <v>0.21089297370393159</v>
      </c>
      <c r="G58" s="30">
        <f>IF(G42=0,0,G18/G42)</f>
        <v>0.12754526506236527</v>
      </c>
      <c r="H58" s="21"/>
      <c r="I58" s="21"/>
    </row>
    <row r="59" spans="2:9">
      <c r="B59" s="11"/>
      <c r="C59" s="29"/>
      <c r="D59" s="29"/>
      <c r="E59" s="29"/>
      <c r="F59" s="29"/>
      <c r="G59" s="30"/>
      <c r="H59" s="21"/>
      <c r="I59" s="21"/>
    </row>
    <row r="60" spans="2:9">
      <c r="B60" s="11" t="s">
        <v>66</v>
      </c>
      <c r="C60" s="29">
        <f>IF(C42=0,0,C54/C42)</f>
        <v>0</v>
      </c>
      <c r="D60" s="29">
        <f>IF(D42=0,0,D54/D42)</f>
        <v>0.40433412034382576</v>
      </c>
      <c r="E60" s="29">
        <f>IF(E42=0,0,E54/E42)</f>
        <v>0.48349831165583596</v>
      </c>
      <c r="F60" s="29">
        <f>IF(F42=0,0,F54/F42)</f>
        <v>0.42207328774859321</v>
      </c>
      <c r="G60" s="30">
        <f>IF(G42=0,0,G54/G42)</f>
        <v>0.50685747597982878</v>
      </c>
      <c r="H60" s="21"/>
      <c r="I60" s="21"/>
    </row>
    <row r="61" spans="2:9">
      <c r="B61" s="11" t="s">
        <v>91</v>
      </c>
      <c r="C61" s="33">
        <f>IF(C71=0,0,(C54/C71)*360)</f>
        <v>0</v>
      </c>
      <c r="D61" s="33">
        <f>IF(D71=0,0,(D54/D71)*360)</f>
        <v>39.825651415960095</v>
      </c>
      <c r="E61" s="33">
        <f>IF(E71=0,0,(E54/E71)*360)</f>
        <v>39.947487528528065</v>
      </c>
      <c r="F61" s="33">
        <f>IF(F71=0,0,(F54/F71)*360)</f>
        <v>48.436050837477374</v>
      </c>
      <c r="G61" s="34">
        <f>IF(G71=0,0,(G54/G71)*360)</f>
        <v>66.504921233717567</v>
      </c>
      <c r="H61" s="21"/>
      <c r="I61" s="21"/>
    </row>
    <row r="62" spans="2:9">
      <c r="B62" s="43"/>
      <c r="C62" s="1"/>
      <c r="D62" s="44"/>
      <c r="E62" s="44"/>
      <c r="F62" s="44"/>
      <c r="G62" s="45"/>
      <c r="H62" s="21"/>
      <c r="I62" s="21"/>
    </row>
    <row r="63" spans="2:9">
      <c r="B63" s="11" t="s">
        <v>62</v>
      </c>
      <c r="C63" s="29">
        <f>IF(C$26=0,0,C44/C$26)</f>
        <v>0</v>
      </c>
      <c r="D63" s="29">
        <f>IF(D$26=0,0,D44/D$26)</f>
        <v>1.7742247911456093</v>
      </c>
      <c r="E63" s="29">
        <f>IF(E$26=0,0,E44/E$26)</f>
        <v>2.1142170271455325</v>
      </c>
      <c r="F63" s="29">
        <f>IF(F$26=0,0,F44/F$26)</f>
        <v>2.6950241632255234</v>
      </c>
      <c r="G63" s="30">
        <f>IF(G$26=0,0,G44/G$26)</f>
        <v>2.1219953650053842</v>
      </c>
      <c r="H63" s="21"/>
      <c r="I63" s="21"/>
    </row>
    <row r="64" spans="2:9">
      <c r="B64" s="11" t="s">
        <v>63</v>
      </c>
      <c r="C64" s="29">
        <f>IF(C$26=0,0,C42/C$26)</f>
        <v>0</v>
      </c>
      <c r="D64" s="29">
        <f>IF(D$26=0,0,D42/D$26)</f>
        <v>1.2509635788501736</v>
      </c>
      <c r="E64" s="29">
        <f>IF(E$26=0,0,E42/E$26)</f>
        <v>1.2553094211979909</v>
      </c>
      <c r="F64" s="29">
        <f>IF(F$26=0,0,F42/F$26)</f>
        <v>1.9923122534191657</v>
      </c>
      <c r="G64" s="30">
        <f>IF(G$26=0,0,G42/G$26)</f>
        <v>1.7134879367738833</v>
      </c>
      <c r="H64" s="21"/>
      <c r="I64" s="21"/>
    </row>
    <row r="65" spans="2:9">
      <c r="B65" s="11" t="s">
        <v>64</v>
      </c>
      <c r="C65" s="29">
        <f>IF(C44=0,0,C26/C44)</f>
        <v>0</v>
      </c>
      <c r="D65" s="29">
        <f>IF(D44=0,0,D26/D44)</f>
        <v>0.56362643842571059</v>
      </c>
      <c r="E65" s="29">
        <f>IF(E44=0,0,E26/E44)</f>
        <v>0.47298833902124504</v>
      </c>
      <c r="F65" s="29">
        <f>IF(F44=0,0,F26/F44)</f>
        <v>0.37105418706270743</v>
      </c>
      <c r="G65" s="30">
        <f>IF(G44=0,0,G26/G44)</f>
        <v>0.47125456374286784</v>
      </c>
      <c r="H65" s="21"/>
      <c r="I65" s="21"/>
    </row>
    <row r="66" spans="2:9">
      <c r="B66" s="3"/>
      <c r="G66" s="19"/>
    </row>
    <row r="67" spans="2:9">
      <c r="B67" s="11" t="s">
        <v>19</v>
      </c>
      <c r="C67" s="29">
        <f>IF(C44=0,0,(C4+C5)/C44)</f>
        <v>0</v>
      </c>
      <c r="D67" s="29">
        <f>IF(D44=0,0,(D4+D5)/D44)</f>
        <v>0.57346394838836678</v>
      </c>
      <c r="E67" s="29">
        <f>IF(E44=0,0,(E4+E5)/E44)</f>
        <v>0.59216608518330183</v>
      </c>
      <c r="F67" s="29">
        <f>IF(F44=0,0,(F4+F5)/F44)</f>
        <v>0.31973885040762889</v>
      </c>
      <c r="G67" s="30">
        <f>IF(G44=0,0,(G4+G5)/G44)</f>
        <v>0.25448371206740866</v>
      </c>
      <c r="H67" s="21"/>
      <c r="I67" s="21"/>
    </row>
    <row r="68" spans="2:9">
      <c r="B68" s="11" t="s">
        <v>61</v>
      </c>
      <c r="C68" s="29">
        <f>IF(C33=0,0,C7/C33)</f>
        <v>0</v>
      </c>
      <c r="D68" s="29">
        <f>IF(D33=0,0,D7/D33)</f>
        <v>1.9444474961091276</v>
      </c>
      <c r="E68" s="29">
        <f>IF(E33=0,0,E7/E33)</f>
        <v>1.4576278187820741</v>
      </c>
      <c r="F68" s="29">
        <f>IF(F33=0,0,F7/F33)</f>
        <v>1.2262549072321338</v>
      </c>
      <c r="G68" s="30">
        <f>IF(G33=0,0,G7/G33)</f>
        <v>1.3219178407947594</v>
      </c>
      <c r="H68" s="21"/>
      <c r="I68" s="21"/>
    </row>
    <row r="69" spans="2:9">
      <c r="B69" s="12" t="s">
        <v>60</v>
      </c>
      <c r="C69" s="35">
        <f>IF(C26+C33=0,0,C7/(C26+C33))</f>
        <v>0</v>
      </c>
      <c r="D69" s="35">
        <f>IF(D26+D33=0,0,D7/(D26+D33))</f>
        <v>0.66794450344183764</v>
      </c>
      <c r="E69" s="35">
        <f>IF(E26+E33=0,0,E7/(E26+E33))</f>
        <v>0.67349642133207721</v>
      </c>
      <c r="F69" s="35">
        <f>IF(F26+F33=0,0,F7/(F26+F33))</f>
        <v>0.50607734802801063</v>
      </c>
      <c r="G69" s="36">
        <f>IF(G26+G33=0,0,G7/(G26+G33))</f>
        <v>0.3833939719824111</v>
      </c>
      <c r="H69" s="21"/>
      <c r="I69" s="21"/>
    </row>
    <row r="70" spans="2:9">
      <c r="B70" s="13"/>
    </row>
    <row r="71" spans="2:9">
      <c r="B71" s="14" t="s">
        <v>203</v>
      </c>
      <c r="C71" s="22">
        <f>DATOS!H67</f>
        <v>0</v>
      </c>
      <c r="D71" s="22">
        <f>DATOS!I67</f>
        <v>2195209.11</v>
      </c>
      <c r="E71" s="22">
        <f>DATOS!J67</f>
        <v>1708112.33</v>
      </c>
      <c r="F71" s="22">
        <f>DATOS!K67</f>
        <v>1059329.51</v>
      </c>
      <c r="G71" s="22">
        <f>DATOS!L67</f>
        <v>532345.17000000004</v>
      </c>
    </row>
    <row r="72" spans="2:9">
      <c r="B72" s="13"/>
      <c r="C72" s="23"/>
      <c r="D72" s="23"/>
      <c r="E72" s="23"/>
      <c r="F72" s="23"/>
      <c r="G72" s="23"/>
    </row>
    <row r="73" spans="2:9">
      <c r="B73" s="14" t="s">
        <v>204</v>
      </c>
      <c r="C73" s="22">
        <f>DATOS!H68</f>
        <v>0</v>
      </c>
      <c r="D73" s="22">
        <f>DATOS!I68</f>
        <v>167831.89</v>
      </c>
      <c r="E73" s="22">
        <f>DATOS!J68</f>
        <v>143782.87</v>
      </c>
      <c r="F73" s="22">
        <f>DATOS!K68</f>
        <v>56258.879999999997</v>
      </c>
      <c r="G73" s="22">
        <f>DATOS!L68</f>
        <v>21045.43</v>
      </c>
    </row>
    <row r="74" spans="2:9">
      <c r="B74" s="13"/>
      <c r="C74" s="23"/>
      <c r="D74" s="23"/>
      <c r="E74" s="23"/>
      <c r="F74" s="23"/>
      <c r="G74" s="23"/>
    </row>
    <row r="75" spans="2:9">
      <c r="B75" s="14" t="s">
        <v>145</v>
      </c>
      <c r="C75" s="22">
        <f>DATOS!H69</f>
        <v>0</v>
      </c>
      <c r="D75" s="22">
        <f>DATOS!I69</f>
        <v>1299418.44</v>
      </c>
      <c r="E75" s="22">
        <f>DATOS!J69</f>
        <v>1006972.76</v>
      </c>
      <c r="F75" s="22">
        <f>DATOS!K69</f>
        <v>657725.26</v>
      </c>
      <c r="G75" s="22">
        <f>DATOS!L69</f>
        <v>340054.98</v>
      </c>
    </row>
    <row r="76" spans="2:9">
      <c r="C76" s="23"/>
      <c r="D76" s="23"/>
      <c r="E76" s="23"/>
      <c r="F76" s="23"/>
      <c r="G76" s="23"/>
    </row>
    <row r="77" spans="2:9">
      <c r="B77" s="13"/>
    </row>
    <row r="78" spans="2:9">
      <c r="B78" s="10" t="s">
        <v>205</v>
      </c>
      <c r="C78" s="37">
        <f>IF(C$26=0,0,C73/C$26)</f>
        <v>0</v>
      </c>
      <c r="D78" s="37">
        <f>IF(D$26=0,0,D73/D$26)</f>
        <v>0.34956122988681326</v>
      </c>
      <c r="E78" s="37">
        <f>IF(E$26=0,0,E73/E$26)</f>
        <v>0.46041503963835628</v>
      </c>
      <c r="F78" s="37">
        <f>IF(F$26=0,0,F73/F$26)</f>
        <v>0.33192430842317472</v>
      </c>
      <c r="G78" s="38">
        <f>IF(G$26=0,0,G73/G$26)</f>
        <v>0.18585750844576843</v>
      </c>
      <c r="H78" s="21"/>
    </row>
    <row r="79" spans="2:9">
      <c r="B79" s="11" t="s">
        <v>206</v>
      </c>
      <c r="C79" s="27">
        <f>IF(C$20=0,0,C73/C$20)</f>
        <v>0</v>
      </c>
      <c r="D79" s="27">
        <f>IF(D$20=0,0,D73/D$20)</f>
        <v>0.1260032103391531</v>
      </c>
      <c r="E79" s="27">
        <f>IF(E$20=0,0,E73/E$20)</f>
        <v>0.14784295237778247</v>
      </c>
      <c r="F79" s="27">
        <f>IF(F$20=0,0,F73/F$20)</f>
        <v>8.9832659787875094E-2</v>
      </c>
      <c r="G79" s="28">
        <f>IF(G$20=0,0,G73/G$20)</f>
        <v>5.9531641375594385E-2</v>
      </c>
      <c r="H79" s="21"/>
    </row>
    <row r="80" spans="2:9">
      <c r="B80" s="11" t="s">
        <v>146</v>
      </c>
      <c r="C80" s="27">
        <f>IF(C$23=0,0,C73/C$23)</f>
        <v>0</v>
      </c>
      <c r="D80" s="27">
        <f>IF(D$23=0,0,D73/D$23)</f>
        <v>6.992995416666667</v>
      </c>
      <c r="E80" s="27">
        <f>IF(E$23=0,0,E73/E$23)</f>
        <v>5.9909529166666662</v>
      </c>
      <c r="F80" s="27">
        <f>IF(F$23=0,0,F73/F$23)</f>
        <v>2.3441199999999998</v>
      </c>
      <c r="G80" s="28">
        <f>IF(G$23=0,0,G73/G$23)</f>
        <v>0.87689291666666669</v>
      </c>
      <c r="H80" s="21"/>
    </row>
    <row r="81" spans="2:9">
      <c r="B81" s="11" t="s">
        <v>147</v>
      </c>
      <c r="C81" s="27">
        <f>IF(C$71=0,0,C73/C$71)</f>
        <v>0</v>
      </c>
      <c r="D81" s="27">
        <f>IF(D$71=0,0,D73/D$71)</f>
        <v>7.6453714243195733E-2</v>
      </c>
      <c r="E81" s="27">
        <f>IF(E$71=0,0,E73/E$71)</f>
        <v>8.4176472164450677E-2</v>
      </c>
      <c r="F81" s="27">
        <f>IF(F$71=0,0,F73/F$71)</f>
        <v>5.310800791342063E-2</v>
      </c>
      <c r="G81" s="28">
        <f>IF(G$71=0,0,G73/G$71)</f>
        <v>3.9533429034398861E-2</v>
      </c>
      <c r="H81" s="21"/>
    </row>
    <row r="82" spans="2:9">
      <c r="B82" s="11"/>
      <c r="C82" s="23"/>
      <c r="D82" s="23"/>
      <c r="E82" s="23"/>
      <c r="F82" s="23"/>
      <c r="G82" s="24"/>
      <c r="H82" s="21"/>
      <c r="I82" s="21"/>
    </row>
    <row r="83" spans="2:9">
      <c r="B83" s="11"/>
      <c r="C83" s="23"/>
      <c r="D83" s="23"/>
      <c r="E83" s="23"/>
      <c r="F83" s="23"/>
      <c r="G83" s="24"/>
      <c r="H83" s="21"/>
      <c r="I83" s="21"/>
    </row>
    <row r="84" spans="2:9">
      <c r="B84" s="11" t="s">
        <v>236</v>
      </c>
      <c r="C84" s="23">
        <f>IF(C75=0,0,(C39/C75)*360)</f>
        <v>0</v>
      </c>
      <c r="D84" s="23">
        <f>IF(D75=0,0,(D39/D75)*360)</f>
        <v>96.937586940816388</v>
      </c>
      <c r="E84" s="23">
        <f>IF(E75=0,0,(E39/E75)*360)</f>
        <v>58.565569142108671</v>
      </c>
      <c r="F84" s="23">
        <f>IF(F75=0,0,(F39/F75)*360)</f>
        <v>94.766034681410886</v>
      </c>
      <c r="G84" s="24">
        <f>IF(G75=0,0,(G39/G75)*360)</f>
        <v>88.595374783218887</v>
      </c>
      <c r="H84" s="21"/>
      <c r="I84" s="21"/>
    </row>
    <row r="85" spans="2:9">
      <c r="B85" s="11" t="s">
        <v>234</v>
      </c>
      <c r="C85" s="23">
        <f>IF(C$71=0,0,(C10/C$71)*360)</f>
        <v>0</v>
      </c>
      <c r="D85" s="23">
        <f>IF(D$71=0,0,(D10/D$71)*360)</f>
        <v>86.864138241481712</v>
      </c>
      <c r="E85" s="23">
        <f>IF(E$71=0,0,(E10/E$71)*360)</f>
        <v>64.481922684792053</v>
      </c>
      <c r="F85" s="23">
        <f>IF(F$71=0,0,(F10/F$71)*360)</f>
        <v>80.704344769929051</v>
      </c>
      <c r="G85" s="24">
        <f>IF(G$71=0,0,(G10/G$71)*360)</f>
        <v>90.238303091958173</v>
      </c>
      <c r="H85" s="21"/>
      <c r="I85" s="21"/>
    </row>
    <row r="86" spans="2:9">
      <c r="B86" s="11" t="s">
        <v>143</v>
      </c>
      <c r="C86" s="23">
        <f>IF(C$20=0,0,C71/C$20)</f>
        <v>0</v>
      </c>
      <c r="D86" s="23">
        <f>IF(D$20=0,0,D71/D$20)</f>
        <v>1.6480979581756185</v>
      </c>
      <c r="E86" s="23">
        <f>IF(E$20=0,0,E71/E$20)</f>
        <v>1.7563453133192644</v>
      </c>
      <c r="F86" s="23">
        <f>IF(F$20=0,0,F71/F$20)</f>
        <v>1.6915087444877401</v>
      </c>
      <c r="G86" s="24">
        <f>IF(G$20=0,0,G71/G$20)</f>
        <v>1.505855748657539</v>
      </c>
    </row>
    <row r="87" spans="2:9">
      <c r="B87" s="12" t="s">
        <v>233</v>
      </c>
      <c r="C87" s="25">
        <f>IF(C$7=0,0,C71/C$7)</f>
        <v>0</v>
      </c>
      <c r="D87" s="25">
        <f>IF(D$7=0,0,D71/D$7)</f>
        <v>4.4937603274994382</v>
      </c>
      <c r="E87" s="25">
        <f>IF(E$7=0,0,E71/E$7)</f>
        <v>4.3688354172006933</v>
      </c>
      <c r="F87" s="25">
        <f>IF(F$7=0,0,F71/F$7)</f>
        <v>7.253055075192977</v>
      </c>
      <c r="G87" s="26">
        <f>IF(G$7=0,0,G71/G$7)</f>
        <v>8.7058504630897051</v>
      </c>
    </row>
  </sheetData>
  <sheetProtection sheet="1" objects="1" scenarios="1"/>
  <phoneticPr fontId="3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  <pageSetUpPr autoPageBreaks="0" fitToPage="1"/>
  </sheetPr>
  <dimension ref="A1:CA532"/>
  <sheetViews>
    <sheetView showGridLines="0" showRowColHeaders="0" showZeros="0" showOutlineSymbols="0" topLeftCell="B1" zoomScale="75" zoomScaleNormal="75" workbookViewId="0">
      <pane xSplit="7" ySplit="2" topLeftCell="I3" activePane="bottomRight" state="frozen"/>
      <selection activeCell="B1" sqref="B1"/>
      <selection pane="topRight" activeCell="I1" sqref="I1"/>
      <selection pane="bottomLeft" activeCell="B3" sqref="B3"/>
      <selection pane="bottomRight" activeCell="F4" sqref="F4"/>
    </sheetView>
  </sheetViews>
  <sheetFormatPr baseColWidth="10" defaultRowHeight="13.2"/>
  <cols>
    <col min="1" max="1" width="4.6640625" hidden="1" customWidth="1"/>
    <col min="2" max="2" width="4.6640625" customWidth="1"/>
    <col min="3" max="4" width="3.6640625" customWidth="1"/>
    <col min="5" max="5" width="30.6640625" customWidth="1"/>
    <col min="6" max="6" width="16" customWidth="1"/>
    <col min="7" max="7" width="9.44140625" customWidth="1"/>
    <col min="8" max="9" width="3.6640625" customWidth="1"/>
    <col min="10" max="10" width="15.6640625" customWidth="1"/>
    <col min="11" max="11" width="8.6640625" customWidth="1"/>
    <col min="12" max="12" width="24" customWidth="1"/>
    <col min="13" max="13" width="4.6640625" customWidth="1"/>
    <col min="14" max="14" width="15.6640625" customWidth="1"/>
    <col min="15" max="15" width="6.44140625" customWidth="1"/>
    <col min="16" max="16" width="24" customWidth="1"/>
    <col min="17" max="78" width="4.6640625" customWidth="1"/>
    <col min="79" max="79" width="20.6640625" customWidth="1"/>
  </cols>
  <sheetData>
    <row r="1" spans="1:79" ht="12.75" customHeight="1" thickBot="1">
      <c r="CA1" s="64"/>
    </row>
    <row r="2" spans="1:79" ht="33" customHeight="1" thickTop="1" thickBot="1">
      <c r="C2" s="394"/>
      <c r="D2" s="395"/>
      <c r="E2" s="395"/>
      <c r="F2" s="396"/>
      <c r="G2" s="397"/>
      <c r="H2" s="397"/>
      <c r="I2" s="397"/>
      <c r="J2" s="397"/>
      <c r="K2" s="545" t="s">
        <v>408</v>
      </c>
      <c r="L2" s="824" t="str">
        <f>IF(F4=0,"","Referidos al Balance del")</f>
        <v>Referidos al Balance del</v>
      </c>
      <c r="M2" s="824"/>
      <c r="N2" s="824"/>
      <c r="O2" s="824"/>
      <c r="P2" s="822">
        <f>$F$4</f>
        <v>2022</v>
      </c>
      <c r="Q2" s="823"/>
      <c r="CA2" s="64"/>
    </row>
    <row r="3" spans="1:79" ht="5.0999999999999996" customHeight="1" thickTop="1">
      <c r="C3" s="97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9"/>
      <c r="CA3" s="64"/>
    </row>
    <row r="4" spans="1:79" ht="21.9" customHeight="1">
      <c r="C4" s="221"/>
      <c r="D4" s="222"/>
      <c r="E4" s="576" t="s">
        <v>494</v>
      </c>
      <c r="F4" s="544">
        <v>2022</v>
      </c>
      <c r="G4" s="371" t="str">
        <f>IF(F4=0,"◄ Pon el balance que quieres analizar (lista)","")</f>
        <v/>
      </c>
      <c r="H4" s="223"/>
      <c r="I4" s="223"/>
      <c r="J4" s="223"/>
      <c r="K4" s="223"/>
      <c r="L4" s="223"/>
      <c r="M4" s="223"/>
      <c r="N4" s="825" t="str">
        <f>$E$20</f>
        <v/>
      </c>
      <c r="O4" s="825"/>
      <c r="P4" s="825"/>
      <c r="Q4" s="224"/>
      <c r="CA4" s="64"/>
    </row>
    <row r="5" spans="1:79" ht="5.0999999999999996" customHeight="1" thickBot="1">
      <c r="C5" s="221"/>
      <c r="D5" s="222"/>
      <c r="E5" s="225"/>
      <c r="F5" s="226"/>
      <c r="G5" s="223"/>
      <c r="H5" s="223"/>
      <c r="I5" s="223"/>
      <c r="J5" s="223"/>
      <c r="K5" s="223"/>
      <c r="L5" s="223"/>
      <c r="M5" s="223"/>
      <c r="N5" s="223"/>
      <c r="O5" s="223"/>
      <c r="P5" s="227"/>
      <c r="Q5" s="224"/>
      <c r="CA5" s="64"/>
    </row>
    <row r="6" spans="1:79" ht="9.9" customHeight="1" thickTop="1" thickBot="1">
      <c r="C6" s="555"/>
      <c r="D6" s="556"/>
      <c r="E6" s="557"/>
      <c r="F6" s="558"/>
      <c r="G6" s="559"/>
      <c r="H6" s="560"/>
      <c r="I6" s="228"/>
      <c r="J6" s="812" t="s">
        <v>191</v>
      </c>
      <c r="K6" s="813"/>
      <c r="L6" s="813"/>
      <c r="M6" s="813"/>
      <c r="N6" s="813"/>
      <c r="O6" s="813"/>
      <c r="P6" s="814"/>
      <c r="Q6" s="224"/>
      <c r="CA6" s="64"/>
    </row>
    <row r="7" spans="1:79" s="62" customFormat="1" ht="18" customHeight="1" thickTop="1" thickBot="1">
      <c r="A7" s="78"/>
      <c r="B7" s="78"/>
      <c r="C7" s="372">
        <v>1</v>
      </c>
      <c r="D7" s="792" t="s">
        <v>11</v>
      </c>
      <c r="E7" s="793"/>
      <c r="F7" s="793"/>
      <c r="G7" s="794"/>
      <c r="H7" s="561"/>
      <c r="I7" s="229"/>
      <c r="J7" s="815"/>
      <c r="K7" s="816"/>
      <c r="L7" s="816"/>
      <c r="M7" s="816"/>
      <c r="N7" s="816"/>
      <c r="O7" s="816"/>
      <c r="P7" s="817"/>
      <c r="Q7" s="230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9"/>
    </row>
    <row r="8" spans="1:79" ht="21" thickTop="1">
      <c r="A8" s="78"/>
      <c r="B8" s="78"/>
      <c r="C8" s="574"/>
      <c r="D8" s="630"/>
      <c r="E8" s="622" t="str">
        <f>'R1'!$E$8</f>
        <v>TOTAL ACTIVO</v>
      </c>
      <c r="F8" s="623">
        <f>SUMIF(añobalance,$F$4,'R1'!I8:M8)</f>
        <v>353516.70999999996</v>
      </c>
      <c r="G8" s="373"/>
      <c r="H8" s="562"/>
      <c r="I8" s="229"/>
      <c r="J8" s="229"/>
      <c r="K8" s="229"/>
      <c r="L8" s="229"/>
      <c r="M8" s="229"/>
      <c r="N8" s="229"/>
      <c r="O8" s="229"/>
      <c r="P8" s="228"/>
      <c r="Q8" s="224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9"/>
    </row>
    <row r="9" spans="1:79" ht="20.100000000000001" customHeight="1">
      <c r="A9" s="78"/>
      <c r="B9" s="78"/>
      <c r="C9" s="573"/>
      <c r="D9" s="631"/>
      <c r="E9" s="613" t="str">
        <f>'R1'!$E$9</f>
        <v>Activo FIJO</v>
      </c>
      <c r="F9" s="614">
        <f>SUMIF(añobalance,$F$4,'R1'!I9:M9)</f>
        <v>61147.98</v>
      </c>
      <c r="G9" s="621">
        <f>IF(F$8=0,0,F9/F$8)</f>
        <v>0.17297055067071657</v>
      </c>
      <c r="H9" s="563"/>
      <c r="I9" s="231"/>
      <c r="J9" s="809" t="s">
        <v>190</v>
      </c>
      <c r="K9" s="810"/>
      <c r="L9" s="811"/>
      <c r="M9" s="231"/>
      <c r="N9" s="809" t="s">
        <v>193</v>
      </c>
      <c r="O9" s="810"/>
      <c r="P9" s="811"/>
      <c r="Q9" s="224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9"/>
    </row>
    <row r="10" spans="1:79" ht="20.399999999999999">
      <c r="A10" s="78"/>
      <c r="B10" s="78"/>
      <c r="C10" s="573"/>
      <c r="D10" s="631"/>
      <c r="E10" s="613" t="str">
        <f>'R1'!$E$11</f>
        <v>Activo CIRCULANTE</v>
      </c>
      <c r="F10" s="614">
        <f>SUMIF(añobalance,$F$4,'R1'!I11:M11)</f>
        <v>292368.73</v>
      </c>
      <c r="G10" s="621">
        <f>IF(F$8=0,0,F10/F$8)</f>
        <v>0.82702944932928346</v>
      </c>
      <c r="H10" s="563"/>
      <c r="I10" s="231"/>
      <c r="J10" s="375" t="str">
        <f>IF(K10&gt;0,"El circulante es","")</f>
        <v>El circulante es</v>
      </c>
      <c r="K10" s="552">
        <f>$G$328</f>
        <v>1.5068574759798288</v>
      </c>
      <c r="L10" s="376" t="str">
        <f>IF(K10&gt;0,"veces el exigible a corto","")</f>
        <v>veces el exigible a corto</v>
      </c>
      <c r="M10" s="231"/>
      <c r="N10" s="375" t="str">
        <f>IF(O10&gt;0,"Tiene un ratio","")</f>
        <v>Tiene un ratio</v>
      </c>
      <c r="O10" s="553">
        <f>SUMIF('R2'!$I$6:$M$6,$F$4,'R2'!I22:M22)</f>
        <v>2.1219953650053842</v>
      </c>
      <c r="P10" s="377" t="str">
        <f>IF(O10&gt;0,"(ratio ENDEUDAMIENTO)","")</f>
        <v>(ratio ENDEUDAMIENTO)</v>
      </c>
      <c r="Q10" s="224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9"/>
    </row>
    <row r="11" spans="1:79" ht="20.399999999999999">
      <c r="A11" s="78"/>
      <c r="B11" s="78"/>
      <c r="C11" s="573"/>
      <c r="D11" s="632"/>
      <c r="E11" s="615" t="str">
        <f>'R1'!$E$12</f>
        <v>Existencias</v>
      </c>
      <c r="F11" s="616">
        <f>SUMIF(añobalance,$F$4,'R1'!I12:M12)</f>
        <v>117928.7</v>
      </c>
      <c r="G11" s="546">
        <f>IF(F$8=0,0,F11/F$8)</f>
        <v>0.33358734301413928</v>
      </c>
      <c r="H11" s="562"/>
      <c r="I11" s="229"/>
      <c r="J11" s="797" t="str">
        <f>IF(K10=0,0,IF(G328&lt;=F331,G331,IF(G328&gt;=F332,G332,G330)))</f>
        <v>Precaución, parece INSUFICIENTE</v>
      </c>
      <c r="K11" s="798"/>
      <c r="L11" s="799"/>
      <c r="M11" s="229"/>
      <c r="N11" s="818" t="str">
        <f>IF(O10=0,0,IF(G346&gt;=F348,G348,IF(G346&lt;=F349,G349,G347)))</f>
        <v>Precaución, parece EXCESIVO</v>
      </c>
      <c r="O11" s="819"/>
      <c r="P11" s="820"/>
      <c r="Q11" s="224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9"/>
    </row>
    <row r="12" spans="1:79" ht="20.399999999999999">
      <c r="A12" s="78"/>
      <c r="B12" s="78"/>
      <c r="C12" s="573"/>
      <c r="D12" s="633"/>
      <c r="E12" s="617" t="str">
        <f>'R1'!$E$14</f>
        <v>Realizable</v>
      </c>
      <c r="F12" s="618">
        <f>SUMIF(añobalance,$F$4,'R1'!I14:M14)</f>
        <v>149693</v>
      </c>
      <c r="G12" s="547">
        <f>IF(F$8=0,0,F12/F$8)</f>
        <v>0.4234396727668121</v>
      </c>
      <c r="H12" s="563"/>
      <c r="I12" s="231"/>
      <c r="J12" s="641" t="str">
        <f>IF(K12&gt;0,"El R + D es","")</f>
        <v>El R + D es</v>
      </c>
      <c r="K12" s="552">
        <f>$G$335</f>
        <v>0.89905737633311744</v>
      </c>
      <c r="L12" s="376" t="str">
        <f>IF(K12&gt;0,"veces el exigible a corto","")</f>
        <v>veces el exigible a corto</v>
      </c>
      <c r="M12" s="231"/>
      <c r="N12" s="800" t="str">
        <f>IF(N11=0,0,"Analizar ratios endeudamiento (ir a 20Ratios)")</f>
        <v>Analizar ratios endeudamiento (ir a 20Ratios)</v>
      </c>
      <c r="O12" s="801"/>
      <c r="P12" s="802"/>
      <c r="Q12" s="224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9"/>
    </row>
    <row r="13" spans="1:79" ht="20.399999999999999">
      <c r="A13" s="78"/>
      <c r="B13" s="78"/>
      <c r="C13" s="573"/>
      <c r="D13" s="634"/>
      <c r="E13" s="619" t="str">
        <f>'R1'!$E$16</f>
        <v>Disponible</v>
      </c>
      <c r="F13" s="620">
        <f>SUMIF(añobalance,$F$4,'R1'!I16:M16)</f>
        <v>24747.03</v>
      </c>
      <c r="G13" s="548">
        <f>IF(F$8=0,0,F13/F$8)</f>
        <v>7.0002433548332132E-2</v>
      </c>
      <c r="H13" s="562"/>
      <c r="I13" s="229"/>
      <c r="J13" s="806" t="str">
        <f>IF(K12=0,0,IF(G335&lt;=F338,G338,IF(G335&gt;=F339,G339,G337)))</f>
        <v>Precaución, parece INSUFICIENTE</v>
      </c>
      <c r="K13" s="807"/>
      <c r="L13" s="808"/>
      <c r="M13" s="229"/>
      <c r="N13" s="229"/>
      <c r="O13" s="229"/>
      <c r="P13" s="228"/>
      <c r="Q13" s="224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9"/>
    </row>
    <row r="14" spans="1:79" ht="15" customHeight="1" thickBot="1">
      <c r="A14" s="78"/>
      <c r="B14" s="78"/>
      <c r="C14" s="567"/>
      <c r="D14" s="635"/>
      <c r="E14" s="636"/>
      <c r="F14" s="637"/>
      <c r="G14" s="575"/>
      <c r="H14" s="564"/>
      <c r="I14" s="228"/>
      <c r="J14" s="803" t="str">
        <f>IF(J13=0,0,"Analizar los ratios de liquidez (hoja 20ratios)")</f>
        <v>Analizar los ratios de liquidez (hoja 20ratios)</v>
      </c>
      <c r="K14" s="804"/>
      <c r="L14" s="805"/>
      <c r="M14" s="228"/>
      <c r="N14" s="228"/>
      <c r="O14" s="228"/>
      <c r="P14" s="228"/>
      <c r="Q14" s="224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9"/>
    </row>
    <row r="15" spans="1:79" ht="18" customHeight="1" thickTop="1" thickBot="1">
      <c r="A15" s="78"/>
      <c r="B15" s="78"/>
      <c r="C15" s="374">
        <v>2</v>
      </c>
      <c r="D15" s="795" t="s">
        <v>250</v>
      </c>
      <c r="E15" s="795" t="s">
        <v>175</v>
      </c>
      <c r="F15" s="795"/>
      <c r="G15" s="796"/>
      <c r="H15" s="562"/>
      <c r="I15" s="229"/>
      <c r="J15" s="229"/>
      <c r="K15" s="229"/>
      <c r="L15" s="229"/>
      <c r="M15" s="229"/>
      <c r="N15" s="229"/>
      <c r="O15" s="229"/>
      <c r="P15" s="228"/>
      <c r="Q15" s="224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9"/>
    </row>
    <row r="16" spans="1:79" ht="20.100000000000001" customHeight="1" thickTop="1">
      <c r="A16" s="78"/>
      <c r="B16" s="78"/>
      <c r="C16" s="567"/>
      <c r="D16" s="638"/>
      <c r="E16" s="549" t="str">
        <f>'R1'!E21</f>
        <v xml:space="preserve">TOTAL </v>
      </c>
      <c r="F16" s="550">
        <f>SUMIF(añobalance,$F$4,'R1'!I21:M21)</f>
        <v>353516.70999999996</v>
      </c>
      <c r="G16" s="551"/>
      <c r="H16" s="562"/>
      <c r="I16" s="229"/>
      <c r="J16" s="809" t="s">
        <v>192</v>
      </c>
      <c r="K16" s="810"/>
      <c r="L16" s="811"/>
      <c r="M16" s="229"/>
      <c r="N16" s="809" t="s">
        <v>194</v>
      </c>
      <c r="O16" s="810"/>
      <c r="P16" s="811"/>
      <c r="Q16" s="224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9"/>
    </row>
    <row r="17" spans="1:79" ht="20.399999999999999">
      <c r="A17" s="78"/>
      <c r="B17" s="78"/>
      <c r="C17" s="573"/>
      <c r="D17" s="639"/>
      <c r="E17" s="624" t="str">
        <f>'R1'!E22</f>
        <v>PATRIMONIO NETO</v>
      </c>
      <c r="F17" s="625">
        <f>SUMIF(añobalance,$F$4,'R1'!I22:M22)</f>
        <v>113234.22</v>
      </c>
      <c r="G17" s="628">
        <f>IF(F$16=0,0,F17/F$16)</f>
        <v>0.32030797073213318</v>
      </c>
      <c r="H17" s="562"/>
      <c r="I17" s="229"/>
      <c r="J17" s="375" t="str">
        <f>IF(K17&gt;0,"El P. Neto es el","")</f>
        <v>El P. Neto es el</v>
      </c>
      <c r="K17" s="554">
        <f>$G$341</f>
        <v>0.32030797073213318</v>
      </c>
      <c r="L17" s="377" t="str">
        <f>IF(K17&gt;0,"del total (PN + PASIVO)","")</f>
        <v>del total (PN + PASIVO)</v>
      </c>
      <c r="M17" s="229"/>
      <c r="N17" s="375" t="str">
        <f>IF(O17&gt;0,"Tiene un ratio","")</f>
        <v>Tiene un ratio</v>
      </c>
      <c r="O17" s="553">
        <f>SUMIF('R2'!$I$6:$M$6,$F$4,'R2'!I8:M8)</f>
        <v>0.25448371206740866</v>
      </c>
      <c r="P17" s="377" t="str">
        <f>IF(O17&gt;0,"(ratio GARANTÍA)","")</f>
        <v>(ratio GARANTÍA)</v>
      </c>
      <c r="Q17" s="224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9"/>
    </row>
    <row r="18" spans="1:79" ht="20.399999999999999">
      <c r="A18" s="78"/>
      <c r="B18" s="78"/>
      <c r="C18" s="573"/>
      <c r="D18" s="639"/>
      <c r="E18" s="624" t="str">
        <f>'R1'!$E$26</f>
        <v>Pasivo LARGO PLAZO</v>
      </c>
      <c r="F18" s="625">
        <f>SUMIF(añobalance,$F$4,'R1'!I26:M26)</f>
        <v>46257.020000000004</v>
      </c>
      <c r="G18" s="628">
        <f>IF(F$16=0,0,F18/F$16)</f>
        <v>0.13084818536583465</v>
      </c>
      <c r="H18" s="562"/>
      <c r="I18" s="229"/>
      <c r="J18" s="797" t="str">
        <f>IF(K17=0,0,IF(G341&lt;=F343,G343,IF(G341&gt;=F344,G344,G342)))</f>
        <v>Precaución, parece INSUFICIENTE</v>
      </c>
      <c r="K18" s="798"/>
      <c r="L18" s="799"/>
      <c r="M18" s="229"/>
      <c r="N18" s="797" t="str">
        <f>IF(O17=0,0,IF(G351&lt;=F353,G353,G352))</f>
        <v>Precaución, parece INSUFICIENTE</v>
      </c>
      <c r="O18" s="798"/>
      <c r="P18" s="799"/>
      <c r="Q18" s="224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9"/>
    </row>
    <row r="19" spans="1:79" ht="20.399999999999999">
      <c r="A19" s="78"/>
      <c r="B19" s="78"/>
      <c r="C19" s="573"/>
      <c r="D19" s="640"/>
      <c r="E19" s="626" t="str">
        <f>'R1'!$E$28</f>
        <v>Pasivo CORTO PLAZO</v>
      </c>
      <c r="F19" s="627">
        <f>SUMIF(añobalance,$F$4,'R1'!I28:M28)</f>
        <v>194025.47</v>
      </c>
      <c r="G19" s="629">
        <f>IF(F$16=0,0,F19/F$16)</f>
        <v>0.54884384390203234</v>
      </c>
      <c r="H19" s="562"/>
      <c r="I19" s="229"/>
      <c r="J19" s="800" t="str">
        <f>IF(J18=0,0,"Analizar los ratios del resumen 1")</f>
        <v>Analizar los ratios del resumen 1</v>
      </c>
      <c r="K19" s="801"/>
      <c r="L19" s="802"/>
      <c r="M19" s="229"/>
      <c r="N19" s="800" t="str">
        <f>IF(N18=0,0,"Analizar los ratios de garantía (hoja 20Ratios)")</f>
        <v>Analizar los ratios de garantía (hoja 20Ratios)</v>
      </c>
      <c r="O19" s="801"/>
      <c r="P19" s="802"/>
      <c r="Q19" s="224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9"/>
    </row>
    <row r="20" spans="1:79" ht="21.75" customHeight="1">
      <c r="A20" s="78"/>
      <c r="B20" s="78"/>
      <c r="C20" s="567"/>
      <c r="D20" s="568"/>
      <c r="E20" s="821" t="str">
        <f>+H325</f>
        <v/>
      </c>
      <c r="F20" s="821"/>
      <c r="G20" s="821"/>
      <c r="H20" s="564"/>
      <c r="I20" s="232"/>
      <c r="J20" s="232"/>
      <c r="K20" s="232"/>
      <c r="L20" s="232"/>
      <c r="M20" s="232"/>
      <c r="N20" s="232"/>
      <c r="O20" s="232"/>
      <c r="P20" s="232"/>
      <c r="Q20" s="233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9"/>
    </row>
    <row r="21" spans="1:79" ht="18" customHeight="1">
      <c r="A21" s="78"/>
      <c r="B21" s="78"/>
      <c r="C21" s="569"/>
      <c r="D21" s="570"/>
      <c r="E21" s="570"/>
      <c r="F21" s="570"/>
      <c r="G21" s="570"/>
      <c r="H21" s="565"/>
      <c r="I21" s="234"/>
      <c r="J21" s="234"/>
      <c r="K21" s="234"/>
      <c r="L21" s="234"/>
      <c r="M21" s="234"/>
      <c r="N21" s="234"/>
      <c r="O21" s="234"/>
      <c r="P21" s="234"/>
      <c r="Q21" s="235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9"/>
    </row>
    <row r="22" spans="1:79" ht="18" customHeight="1">
      <c r="A22" s="78"/>
      <c r="B22" s="78"/>
      <c r="C22" s="569"/>
      <c r="D22" s="570"/>
      <c r="E22" s="570"/>
      <c r="F22" s="570"/>
      <c r="G22" s="570"/>
      <c r="H22" s="565"/>
      <c r="I22" s="236"/>
      <c r="J22" s="236"/>
      <c r="K22" s="236"/>
      <c r="L22" s="236"/>
      <c r="M22" s="236"/>
      <c r="N22" s="236"/>
      <c r="O22" s="236"/>
      <c r="P22" s="236"/>
      <c r="Q22" s="237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9"/>
    </row>
    <row r="23" spans="1:79" ht="18" customHeight="1">
      <c r="A23" s="78"/>
      <c r="B23" s="78"/>
      <c r="C23" s="569"/>
      <c r="D23" s="570"/>
      <c r="E23" s="570"/>
      <c r="F23" s="570"/>
      <c r="G23" s="570"/>
      <c r="H23" s="565"/>
      <c r="I23" s="236"/>
      <c r="J23" s="236"/>
      <c r="K23" s="236"/>
      <c r="L23" s="236"/>
      <c r="M23" s="236"/>
      <c r="N23" s="236"/>
      <c r="O23" s="236"/>
      <c r="P23" s="236"/>
      <c r="Q23" s="237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9"/>
    </row>
    <row r="24" spans="1:79" ht="18" customHeight="1">
      <c r="A24" s="78"/>
      <c r="B24" s="78"/>
      <c r="C24" s="569"/>
      <c r="D24" s="570"/>
      <c r="E24" s="570"/>
      <c r="F24" s="570"/>
      <c r="G24" s="570"/>
      <c r="H24" s="565"/>
      <c r="I24" s="236"/>
      <c r="J24" s="236"/>
      <c r="K24" s="236"/>
      <c r="L24" s="236"/>
      <c r="M24" s="236"/>
      <c r="N24" s="236"/>
      <c r="O24" s="236"/>
      <c r="P24" s="236"/>
      <c r="Q24" s="237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9"/>
    </row>
    <row r="25" spans="1:79" ht="20.399999999999999">
      <c r="A25" s="78"/>
      <c r="B25" s="78"/>
      <c r="C25" s="569"/>
      <c r="D25" s="570"/>
      <c r="E25" s="570"/>
      <c r="F25" s="570"/>
      <c r="G25" s="570"/>
      <c r="H25" s="565"/>
      <c r="I25" s="236"/>
      <c r="J25" s="236"/>
      <c r="K25" s="236"/>
      <c r="L25" s="236"/>
      <c r="M25" s="236"/>
      <c r="N25" s="236"/>
      <c r="O25" s="236"/>
      <c r="P25" s="236"/>
      <c r="Q25" s="237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9"/>
    </row>
    <row r="26" spans="1:79" ht="20.399999999999999">
      <c r="A26" s="78"/>
      <c r="B26" s="78"/>
      <c r="C26" s="569"/>
      <c r="D26" s="570"/>
      <c r="E26" s="570"/>
      <c r="F26" s="570"/>
      <c r="G26" s="570"/>
      <c r="H26" s="565"/>
      <c r="I26" s="236"/>
      <c r="J26" s="236"/>
      <c r="K26" s="236"/>
      <c r="L26" s="236"/>
      <c r="M26" s="236"/>
      <c r="N26" s="236"/>
      <c r="O26" s="236"/>
      <c r="P26" s="236"/>
      <c r="Q26" s="237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9"/>
    </row>
    <row r="27" spans="1:79" ht="20.399999999999999">
      <c r="A27" s="78"/>
      <c r="B27" s="78"/>
      <c r="C27" s="569"/>
      <c r="D27" s="570"/>
      <c r="E27" s="570"/>
      <c r="F27" s="570"/>
      <c r="G27" s="570"/>
      <c r="H27" s="565"/>
      <c r="I27" s="236"/>
      <c r="J27" s="236"/>
      <c r="K27" s="236"/>
      <c r="L27" s="236"/>
      <c r="M27" s="236"/>
      <c r="N27" s="236"/>
      <c r="O27" s="236"/>
      <c r="P27" s="236"/>
      <c r="Q27" s="237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9"/>
    </row>
    <row r="28" spans="1:79" ht="20.399999999999999">
      <c r="A28" s="78"/>
      <c r="B28" s="78"/>
      <c r="C28" s="569"/>
      <c r="D28" s="570"/>
      <c r="E28" s="570"/>
      <c r="F28" s="570"/>
      <c r="G28" s="570"/>
      <c r="H28" s="565"/>
      <c r="I28" s="236"/>
      <c r="J28" s="236"/>
      <c r="K28" s="236"/>
      <c r="L28" s="236"/>
      <c r="M28" s="236"/>
      <c r="N28" s="236"/>
      <c r="O28" s="236"/>
      <c r="P28" s="236"/>
      <c r="Q28" s="237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9"/>
    </row>
    <row r="29" spans="1:79" ht="20.399999999999999">
      <c r="A29" s="78"/>
      <c r="B29" s="78"/>
      <c r="C29" s="569"/>
      <c r="D29" s="570"/>
      <c r="E29" s="570"/>
      <c r="F29" s="570"/>
      <c r="G29" s="570"/>
      <c r="H29" s="565"/>
      <c r="I29" s="236"/>
      <c r="J29" s="236"/>
      <c r="K29" s="236"/>
      <c r="L29" s="236"/>
      <c r="M29" s="236"/>
      <c r="N29" s="236"/>
      <c r="O29" s="236"/>
      <c r="P29" s="236"/>
      <c r="Q29" s="237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9"/>
    </row>
    <row r="30" spans="1:79" ht="20.399999999999999">
      <c r="A30" s="78"/>
      <c r="B30" s="78"/>
      <c r="C30" s="569"/>
      <c r="D30" s="570"/>
      <c r="E30" s="570"/>
      <c r="F30" s="570"/>
      <c r="G30" s="570"/>
      <c r="H30" s="565"/>
      <c r="I30" s="236"/>
      <c r="J30" s="236"/>
      <c r="K30" s="236"/>
      <c r="L30" s="236"/>
      <c r="M30" s="236"/>
      <c r="N30" s="236"/>
      <c r="O30" s="236"/>
      <c r="P30" s="236"/>
      <c r="Q30" s="237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9"/>
    </row>
    <row r="31" spans="1:79" ht="20.399999999999999">
      <c r="A31" s="78"/>
      <c r="B31" s="78"/>
      <c r="C31" s="569"/>
      <c r="D31" s="570"/>
      <c r="E31" s="570"/>
      <c r="F31" s="570"/>
      <c r="G31" s="570"/>
      <c r="H31" s="565"/>
      <c r="I31" s="236"/>
      <c r="J31" s="236"/>
      <c r="K31" s="236"/>
      <c r="L31" s="236"/>
      <c r="M31" s="236"/>
      <c r="N31" s="236"/>
      <c r="O31" s="236"/>
      <c r="P31" s="236"/>
      <c r="Q31" s="237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9"/>
    </row>
    <row r="32" spans="1:79" ht="20.399999999999999">
      <c r="A32" s="78"/>
      <c r="B32" s="78"/>
      <c r="C32" s="569"/>
      <c r="D32" s="570"/>
      <c r="E32" s="570"/>
      <c r="F32" s="570"/>
      <c r="G32" s="570"/>
      <c r="H32" s="565"/>
      <c r="I32" s="236"/>
      <c r="J32" s="236"/>
      <c r="K32" s="236"/>
      <c r="L32" s="236"/>
      <c r="M32" s="236"/>
      <c r="N32" s="236"/>
      <c r="O32" s="236"/>
      <c r="P32" s="236"/>
      <c r="Q32" s="237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9"/>
    </row>
    <row r="33" spans="1:79" ht="9.9" customHeight="1" thickBot="1">
      <c r="A33" s="78"/>
      <c r="B33" s="78"/>
      <c r="C33" s="571"/>
      <c r="D33" s="572"/>
      <c r="E33" s="572"/>
      <c r="F33" s="572"/>
      <c r="G33" s="572"/>
      <c r="H33" s="566"/>
      <c r="I33" s="238"/>
      <c r="J33" s="238"/>
      <c r="K33" s="238"/>
      <c r="L33" s="238"/>
      <c r="M33" s="238"/>
      <c r="N33" s="238"/>
      <c r="O33" s="238"/>
      <c r="P33" s="238"/>
      <c r="Q33" s="239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9"/>
    </row>
    <row r="34" spans="1:79" ht="9.9" customHeight="1" thickTop="1"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CA34" s="64"/>
    </row>
    <row r="35" spans="1:79">
      <c r="CA35" s="64"/>
    </row>
    <row r="36" spans="1:79">
      <c r="CA36" s="64"/>
    </row>
    <row r="37" spans="1:79">
      <c r="CA37" s="64"/>
    </row>
    <row r="38" spans="1:79">
      <c r="CA38" s="64"/>
    </row>
    <row r="39" spans="1:79">
      <c r="CA39" s="64"/>
    </row>
    <row r="40" spans="1:79">
      <c r="CA40" s="64"/>
    </row>
    <row r="41" spans="1:79">
      <c r="CA41" s="64"/>
    </row>
    <row r="42" spans="1:79">
      <c r="CA42" s="64"/>
    </row>
    <row r="43" spans="1:79">
      <c r="CA43" s="64"/>
    </row>
    <row r="44" spans="1:79">
      <c r="CA44" s="64"/>
    </row>
    <row r="45" spans="1:79">
      <c r="CA45" s="64"/>
    </row>
    <row r="46" spans="1:79">
      <c r="CA46" s="64"/>
    </row>
    <row r="47" spans="1:79">
      <c r="CA47" s="64"/>
    </row>
    <row r="48" spans="1:79">
      <c r="CA48" s="64"/>
    </row>
    <row r="49" spans="79:79">
      <c r="CA49" s="64"/>
    </row>
    <row r="50" spans="79:79">
      <c r="CA50" s="64"/>
    </row>
    <row r="51" spans="79:79">
      <c r="CA51" s="64"/>
    </row>
    <row r="52" spans="79:79">
      <c r="CA52" s="64"/>
    </row>
    <row r="53" spans="79:79">
      <c r="CA53" s="64"/>
    </row>
    <row r="54" spans="79:79">
      <c r="CA54" s="64"/>
    </row>
    <row r="55" spans="79:79">
      <c r="CA55" s="64"/>
    </row>
    <row r="56" spans="79:79">
      <c r="CA56" s="64"/>
    </row>
    <row r="57" spans="79:79">
      <c r="CA57" s="64"/>
    </row>
    <row r="58" spans="79:79">
      <c r="CA58" s="64"/>
    </row>
    <row r="59" spans="79:79">
      <c r="CA59" s="64"/>
    </row>
    <row r="60" spans="79:79">
      <c r="CA60" s="64"/>
    </row>
    <row r="61" spans="79:79">
      <c r="CA61" s="64"/>
    </row>
    <row r="62" spans="79:79">
      <c r="CA62" s="64"/>
    </row>
    <row r="63" spans="79:79">
      <c r="CA63" s="64"/>
    </row>
    <row r="64" spans="79:79">
      <c r="CA64" s="64"/>
    </row>
    <row r="65" spans="79:79">
      <c r="CA65" s="64"/>
    </row>
    <row r="66" spans="79:79">
      <c r="CA66" s="64"/>
    </row>
    <row r="67" spans="79:79">
      <c r="CA67" s="64"/>
    </row>
    <row r="68" spans="79:79">
      <c r="CA68" s="64"/>
    </row>
    <row r="69" spans="79:79">
      <c r="CA69" s="64"/>
    </row>
    <row r="70" spans="79:79">
      <c r="CA70" s="64"/>
    </row>
    <row r="71" spans="79:79">
      <c r="CA71" s="64"/>
    </row>
    <row r="72" spans="79:79">
      <c r="CA72" s="64"/>
    </row>
    <row r="73" spans="79:79">
      <c r="CA73" s="64"/>
    </row>
    <row r="74" spans="79:79">
      <c r="CA74" s="64"/>
    </row>
    <row r="75" spans="79:79">
      <c r="CA75" s="64"/>
    </row>
    <row r="76" spans="79:79">
      <c r="CA76" s="64"/>
    </row>
    <row r="77" spans="79:79">
      <c r="CA77" s="64"/>
    </row>
    <row r="78" spans="79:79">
      <c r="CA78" s="64"/>
    </row>
    <row r="79" spans="79:79">
      <c r="CA79" s="64"/>
    </row>
    <row r="80" spans="79:79">
      <c r="CA80" s="64"/>
    </row>
    <row r="81" spans="79:79">
      <c r="CA81" s="64"/>
    </row>
    <row r="82" spans="79:79">
      <c r="CA82" s="64"/>
    </row>
    <row r="83" spans="79:79">
      <c r="CA83" s="64"/>
    </row>
    <row r="84" spans="79:79">
      <c r="CA84" s="64"/>
    </row>
    <row r="85" spans="79:79">
      <c r="CA85" s="64"/>
    </row>
    <row r="86" spans="79:79">
      <c r="CA86" s="64"/>
    </row>
    <row r="87" spans="79:79">
      <c r="CA87" s="64"/>
    </row>
    <row r="88" spans="79:79">
      <c r="CA88" s="64"/>
    </row>
    <row r="89" spans="79:79">
      <c r="CA89" s="64"/>
    </row>
    <row r="90" spans="79:79">
      <c r="CA90" s="64"/>
    </row>
    <row r="91" spans="79:79">
      <c r="CA91" s="64"/>
    </row>
    <row r="92" spans="79:79">
      <c r="CA92" s="64"/>
    </row>
    <row r="93" spans="79:79">
      <c r="CA93" s="64"/>
    </row>
    <row r="94" spans="79:79">
      <c r="CA94" s="64"/>
    </row>
    <row r="95" spans="79:79">
      <c r="CA95" s="64"/>
    </row>
    <row r="96" spans="79:79">
      <c r="CA96" s="64"/>
    </row>
    <row r="97" spans="79:79">
      <c r="CA97" s="64"/>
    </row>
    <row r="98" spans="79:79">
      <c r="CA98" s="64"/>
    </row>
    <row r="99" spans="79:79">
      <c r="CA99" s="64"/>
    </row>
    <row r="100" spans="79:79">
      <c r="CA100" s="64"/>
    </row>
    <row r="101" spans="79:79">
      <c r="CA101" s="64"/>
    </row>
    <row r="102" spans="79:79">
      <c r="CA102" s="64"/>
    </row>
    <row r="103" spans="79:79">
      <c r="CA103" s="64"/>
    </row>
    <row r="104" spans="79:79">
      <c r="CA104" s="64"/>
    </row>
    <row r="105" spans="79:79">
      <c r="CA105" s="64"/>
    </row>
    <row r="106" spans="79:79">
      <c r="CA106" s="64"/>
    </row>
    <row r="107" spans="79:79">
      <c r="CA107" s="64"/>
    </row>
    <row r="108" spans="79:79">
      <c r="CA108" s="64"/>
    </row>
    <row r="109" spans="79:79">
      <c r="CA109" s="64"/>
    </row>
    <row r="110" spans="79:79">
      <c r="CA110" s="64"/>
    </row>
    <row r="111" spans="79:79">
      <c r="CA111" s="64"/>
    </row>
    <row r="112" spans="79:79">
      <c r="CA112" s="64"/>
    </row>
    <row r="113" spans="79:79">
      <c r="CA113" s="64"/>
    </row>
    <row r="114" spans="79:79">
      <c r="CA114" s="64"/>
    </row>
    <row r="115" spans="79:79">
      <c r="CA115" s="64"/>
    </row>
    <row r="116" spans="79:79">
      <c r="CA116" s="64"/>
    </row>
    <row r="117" spans="79:79">
      <c r="CA117" s="64"/>
    </row>
    <row r="118" spans="79:79">
      <c r="CA118" s="64"/>
    </row>
    <row r="119" spans="79:79">
      <c r="CA119" s="64"/>
    </row>
    <row r="120" spans="79:79">
      <c r="CA120" s="64"/>
    </row>
    <row r="121" spans="79:79">
      <c r="CA121" s="64"/>
    </row>
    <row r="122" spans="79:79">
      <c r="CA122" s="64"/>
    </row>
    <row r="123" spans="79:79">
      <c r="CA123" s="64"/>
    </row>
    <row r="124" spans="79:79">
      <c r="CA124" s="64"/>
    </row>
    <row r="125" spans="79:79">
      <c r="CA125" s="64"/>
    </row>
    <row r="126" spans="79:79">
      <c r="CA126" s="64"/>
    </row>
    <row r="127" spans="79:79">
      <c r="CA127" s="64"/>
    </row>
    <row r="128" spans="79:79">
      <c r="CA128" s="64"/>
    </row>
    <row r="129" spans="79:79">
      <c r="CA129" s="64"/>
    </row>
    <row r="130" spans="79:79">
      <c r="CA130" s="64"/>
    </row>
    <row r="131" spans="79:79">
      <c r="CA131" s="64"/>
    </row>
    <row r="132" spans="79:79">
      <c r="CA132" s="64"/>
    </row>
    <row r="133" spans="79:79">
      <c r="CA133" s="64"/>
    </row>
    <row r="134" spans="79:79">
      <c r="CA134" s="64"/>
    </row>
    <row r="135" spans="79:79">
      <c r="CA135" s="64"/>
    </row>
    <row r="136" spans="79:79">
      <c r="CA136" s="64"/>
    </row>
    <row r="137" spans="79:79">
      <c r="CA137" s="64"/>
    </row>
    <row r="138" spans="79:79">
      <c r="CA138" s="64"/>
    </row>
    <row r="139" spans="79:79">
      <c r="CA139" s="64"/>
    </row>
    <row r="140" spans="79:79">
      <c r="CA140" s="64"/>
    </row>
    <row r="141" spans="79:79">
      <c r="CA141" s="64"/>
    </row>
    <row r="142" spans="79:79">
      <c r="CA142" s="64"/>
    </row>
    <row r="143" spans="79:79">
      <c r="CA143" s="64"/>
    </row>
    <row r="144" spans="79:79">
      <c r="CA144" s="64"/>
    </row>
    <row r="145" spans="79:79">
      <c r="CA145" s="64"/>
    </row>
    <row r="146" spans="79:79">
      <c r="CA146" s="64"/>
    </row>
    <row r="147" spans="79:79">
      <c r="CA147" s="64"/>
    </row>
    <row r="148" spans="79:79">
      <c r="CA148" s="64"/>
    </row>
    <row r="149" spans="79:79">
      <c r="CA149" s="64"/>
    </row>
    <row r="150" spans="79:79">
      <c r="CA150" s="64"/>
    </row>
    <row r="151" spans="79:79">
      <c r="CA151" s="64"/>
    </row>
    <row r="152" spans="79:79">
      <c r="CA152" s="64"/>
    </row>
    <row r="153" spans="79:79">
      <c r="CA153" s="64"/>
    </row>
    <row r="154" spans="79:79">
      <c r="CA154" s="64"/>
    </row>
    <row r="155" spans="79:79">
      <c r="CA155" s="64"/>
    </row>
    <row r="156" spans="79:79">
      <c r="CA156" s="64"/>
    </row>
    <row r="157" spans="79:79">
      <c r="CA157" s="64"/>
    </row>
    <row r="158" spans="79:79">
      <c r="CA158" s="64"/>
    </row>
    <row r="159" spans="79:79">
      <c r="CA159" s="64"/>
    </row>
    <row r="160" spans="79:79">
      <c r="CA160" s="64"/>
    </row>
    <row r="161" spans="79:79">
      <c r="CA161" s="64"/>
    </row>
    <row r="162" spans="79:79">
      <c r="CA162" s="64"/>
    </row>
    <row r="163" spans="79:79">
      <c r="CA163" s="64"/>
    </row>
    <row r="164" spans="79:79">
      <c r="CA164" s="64"/>
    </row>
    <row r="165" spans="79:79">
      <c r="CA165" s="64"/>
    </row>
    <row r="166" spans="79:79">
      <c r="CA166" s="64"/>
    </row>
    <row r="167" spans="79:79">
      <c r="CA167" s="64"/>
    </row>
    <row r="168" spans="79:79">
      <c r="CA168" s="64"/>
    </row>
    <row r="169" spans="79:79">
      <c r="CA169" s="64"/>
    </row>
    <row r="170" spans="79:79">
      <c r="CA170" s="64"/>
    </row>
    <row r="171" spans="79:79">
      <c r="CA171" s="64"/>
    </row>
    <row r="172" spans="79:79">
      <c r="CA172" s="64"/>
    </row>
    <row r="173" spans="79:79">
      <c r="CA173" s="64"/>
    </row>
    <row r="174" spans="79:79">
      <c r="CA174" s="64"/>
    </row>
    <row r="175" spans="79:79">
      <c r="CA175" s="64"/>
    </row>
    <row r="176" spans="79:79">
      <c r="CA176" s="64"/>
    </row>
    <row r="177" spans="79:79">
      <c r="CA177" s="64"/>
    </row>
    <row r="178" spans="79:79">
      <c r="CA178" s="64"/>
    </row>
    <row r="179" spans="79:79">
      <c r="CA179" s="64"/>
    </row>
    <row r="180" spans="79:79">
      <c r="CA180" s="64"/>
    </row>
    <row r="181" spans="79:79">
      <c r="CA181" s="64"/>
    </row>
    <row r="182" spans="79:79">
      <c r="CA182" s="64"/>
    </row>
    <row r="183" spans="79:79">
      <c r="CA183" s="64"/>
    </row>
    <row r="184" spans="79:79">
      <c r="CA184" s="64"/>
    </row>
    <row r="185" spans="79:79">
      <c r="CA185" s="64"/>
    </row>
    <row r="186" spans="79:79">
      <c r="CA186" s="64"/>
    </row>
    <row r="187" spans="79:79">
      <c r="CA187" s="64"/>
    </row>
    <row r="188" spans="79:79">
      <c r="CA188" s="64"/>
    </row>
    <row r="189" spans="79:79">
      <c r="CA189" s="64"/>
    </row>
    <row r="190" spans="79:79">
      <c r="CA190" s="64"/>
    </row>
    <row r="191" spans="79:79">
      <c r="CA191" s="64"/>
    </row>
    <row r="192" spans="79:79">
      <c r="CA192" s="64"/>
    </row>
    <row r="193" spans="79:79">
      <c r="CA193" s="64"/>
    </row>
    <row r="194" spans="79:79">
      <c r="CA194" s="64"/>
    </row>
    <row r="195" spans="79:79">
      <c r="CA195" s="64"/>
    </row>
    <row r="196" spans="79:79">
      <c r="CA196" s="64"/>
    </row>
    <row r="197" spans="79:79">
      <c r="CA197" s="64"/>
    </row>
    <row r="198" spans="79:79">
      <c r="CA198" s="64"/>
    </row>
    <row r="199" spans="79:79">
      <c r="CA199" s="64"/>
    </row>
    <row r="200" spans="79:79">
      <c r="CA200" s="64"/>
    </row>
    <row r="201" spans="79:79">
      <c r="CA201" s="64"/>
    </row>
    <row r="202" spans="79:79">
      <c r="CA202" s="64"/>
    </row>
    <row r="203" spans="79:79">
      <c r="CA203" s="64"/>
    </row>
    <row r="204" spans="79:79">
      <c r="CA204" s="64"/>
    </row>
    <row r="205" spans="79:79">
      <c r="CA205" s="64"/>
    </row>
    <row r="206" spans="79:79">
      <c r="CA206" s="64"/>
    </row>
    <row r="207" spans="79:79">
      <c r="CA207" s="64"/>
    </row>
    <row r="208" spans="79:79">
      <c r="CA208" s="64"/>
    </row>
    <row r="209" spans="79:79">
      <c r="CA209" s="64"/>
    </row>
    <row r="210" spans="79:79">
      <c r="CA210" s="64"/>
    </row>
    <row r="211" spans="79:79">
      <c r="CA211" s="64"/>
    </row>
    <row r="212" spans="79:79">
      <c r="CA212" s="64"/>
    </row>
    <row r="213" spans="79:79">
      <c r="CA213" s="64"/>
    </row>
    <row r="214" spans="79:79">
      <c r="CA214" s="64"/>
    </row>
    <row r="215" spans="79:79">
      <c r="CA215" s="64"/>
    </row>
    <row r="216" spans="79:79">
      <c r="CA216" s="64"/>
    </row>
    <row r="217" spans="79:79">
      <c r="CA217" s="64"/>
    </row>
    <row r="218" spans="79:79">
      <c r="CA218" s="64"/>
    </row>
    <row r="219" spans="79:79">
      <c r="CA219" s="64"/>
    </row>
    <row r="220" spans="79:79">
      <c r="CA220" s="64"/>
    </row>
    <row r="221" spans="79:79">
      <c r="CA221" s="64"/>
    </row>
    <row r="222" spans="79:79">
      <c r="CA222" s="64"/>
    </row>
    <row r="223" spans="79:79">
      <c r="CA223" s="64"/>
    </row>
    <row r="224" spans="79:79">
      <c r="CA224" s="64"/>
    </row>
    <row r="225" spans="79:79">
      <c r="CA225" s="64"/>
    </row>
    <row r="226" spans="79:79">
      <c r="CA226" s="64"/>
    </row>
    <row r="227" spans="79:79">
      <c r="CA227" s="64"/>
    </row>
    <row r="228" spans="79:79">
      <c r="CA228" s="64"/>
    </row>
    <row r="229" spans="79:79">
      <c r="CA229" s="64"/>
    </row>
    <row r="230" spans="79:79">
      <c r="CA230" s="64"/>
    </row>
    <row r="231" spans="79:79">
      <c r="CA231" s="64"/>
    </row>
    <row r="232" spans="79:79">
      <c r="CA232" s="64"/>
    </row>
    <row r="233" spans="79:79">
      <c r="CA233" s="64"/>
    </row>
    <row r="234" spans="79:79">
      <c r="CA234" s="64"/>
    </row>
    <row r="235" spans="79:79">
      <c r="CA235" s="64"/>
    </row>
    <row r="236" spans="79:79">
      <c r="CA236" s="64"/>
    </row>
    <row r="237" spans="79:79">
      <c r="CA237" s="64"/>
    </row>
    <row r="238" spans="79:79">
      <c r="CA238" s="64"/>
    </row>
    <row r="239" spans="79:79">
      <c r="CA239" s="64"/>
    </row>
    <row r="240" spans="79:79">
      <c r="CA240" s="64"/>
    </row>
    <row r="241" spans="79:79">
      <c r="CA241" s="64"/>
    </row>
    <row r="242" spans="79:79">
      <c r="CA242" s="64"/>
    </row>
    <row r="243" spans="79:79">
      <c r="CA243" s="64"/>
    </row>
    <row r="244" spans="79:79">
      <c r="CA244" s="64"/>
    </row>
    <row r="245" spans="79:79">
      <c r="CA245" s="64"/>
    </row>
    <row r="246" spans="79:79">
      <c r="CA246" s="64"/>
    </row>
    <row r="247" spans="79:79">
      <c r="CA247" s="64"/>
    </row>
    <row r="248" spans="79:79">
      <c r="CA248" s="64"/>
    </row>
    <row r="249" spans="79:79">
      <c r="CA249" s="64"/>
    </row>
    <row r="250" spans="79:79">
      <c r="CA250" s="64"/>
    </row>
    <row r="251" spans="79:79">
      <c r="CA251" s="64"/>
    </row>
    <row r="252" spans="79:79">
      <c r="CA252" s="64"/>
    </row>
    <row r="253" spans="79:79">
      <c r="CA253" s="64"/>
    </row>
    <row r="254" spans="79:79">
      <c r="CA254" s="64"/>
    </row>
    <row r="255" spans="79:79">
      <c r="CA255" s="64"/>
    </row>
    <row r="256" spans="79:79">
      <c r="CA256" s="64"/>
    </row>
    <row r="257" spans="79:79">
      <c r="CA257" s="64"/>
    </row>
    <row r="258" spans="79:79">
      <c r="CA258" s="64"/>
    </row>
    <row r="259" spans="79:79">
      <c r="CA259" s="64"/>
    </row>
    <row r="260" spans="79:79">
      <c r="CA260" s="64"/>
    </row>
    <row r="261" spans="79:79">
      <c r="CA261" s="64"/>
    </row>
    <row r="262" spans="79:79">
      <c r="CA262" s="64"/>
    </row>
    <row r="263" spans="79:79">
      <c r="CA263" s="64"/>
    </row>
    <row r="264" spans="79:79">
      <c r="CA264" s="64"/>
    </row>
    <row r="265" spans="79:79">
      <c r="CA265" s="64"/>
    </row>
    <row r="266" spans="79:79">
      <c r="CA266" s="64"/>
    </row>
    <row r="267" spans="79:79">
      <c r="CA267" s="64"/>
    </row>
    <row r="268" spans="79:79">
      <c r="CA268" s="64"/>
    </row>
    <row r="269" spans="79:79">
      <c r="CA269" s="64"/>
    </row>
    <row r="270" spans="79:79">
      <c r="CA270" s="64"/>
    </row>
    <row r="271" spans="79:79">
      <c r="CA271" s="64"/>
    </row>
    <row r="272" spans="79:79">
      <c r="CA272" s="64"/>
    </row>
    <row r="273" spans="79:79">
      <c r="CA273" s="64"/>
    </row>
    <row r="274" spans="79:79">
      <c r="CA274" s="64"/>
    </row>
    <row r="275" spans="79:79">
      <c r="CA275" s="64"/>
    </row>
    <row r="276" spans="79:79">
      <c r="CA276" s="64"/>
    </row>
    <row r="277" spans="79:79">
      <c r="CA277" s="64"/>
    </row>
    <row r="278" spans="79:79">
      <c r="CA278" s="64"/>
    </row>
    <row r="279" spans="79:79">
      <c r="CA279" s="64"/>
    </row>
    <row r="280" spans="79:79">
      <c r="CA280" s="64"/>
    </row>
    <row r="281" spans="79:79">
      <c r="CA281" s="64"/>
    </row>
    <row r="282" spans="79:79">
      <c r="CA282" s="64"/>
    </row>
    <row r="283" spans="79:79">
      <c r="CA283" s="64"/>
    </row>
    <row r="284" spans="79:79">
      <c r="CA284" s="64"/>
    </row>
    <row r="285" spans="79:79">
      <c r="CA285" s="64"/>
    </row>
    <row r="286" spans="79:79">
      <c r="CA286" s="64"/>
    </row>
    <row r="287" spans="79:79">
      <c r="CA287" s="64"/>
    </row>
    <row r="288" spans="79:79">
      <c r="CA288" s="64"/>
    </row>
    <row r="289" spans="79:79">
      <c r="CA289" s="64"/>
    </row>
    <row r="290" spans="79:79">
      <c r="CA290" s="64"/>
    </row>
    <row r="291" spans="79:79">
      <c r="CA291" s="64"/>
    </row>
    <row r="292" spans="79:79">
      <c r="CA292" s="64"/>
    </row>
    <row r="293" spans="79:79">
      <c r="CA293" s="64"/>
    </row>
    <row r="294" spans="79:79">
      <c r="CA294" s="64"/>
    </row>
    <row r="295" spans="79:79">
      <c r="CA295" s="64"/>
    </row>
    <row r="296" spans="79:79">
      <c r="CA296" s="64"/>
    </row>
    <row r="297" spans="79:79">
      <c r="CA297" s="64"/>
    </row>
    <row r="298" spans="79:79">
      <c r="CA298" s="64"/>
    </row>
    <row r="299" spans="79:79">
      <c r="CA299" s="64"/>
    </row>
    <row r="300" spans="79:79">
      <c r="CA300" s="64"/>
    </row>
    <row r="301" spans="79:79">
      <c r="CA301" s="64"/>
    </row>
    <row r="302" spans="79:79">
      <c r="CA302" s="64"/>
    </row>
    <row r="303" spans="79:79">
      <c r="CA303" s="64"/>
    </row>
    <row r="304" spans="79:79">
      <c r="CA304" s="64"/>
    </row>
    <row r="305" spans="79:79">
      <c r="CA305" s="64"/>
    </row>
    <row r="306" spans="79:79">
      <c r="CA306" s="64"/>
    </row>
    <row r="307" spans="79:79">
      <c r="CA307" s="64"/>
    </row>
    <row r="308" spans="79:79">
      <c r="CA308" s="64"/>
    </row>
    <row r="309" spans="79:79">
      <c r="CA309" s="64"/>
    </row>
    <row r="310" spans="79:79">
      <c r="CA310" s="64"/>
    </row>
    <row r="324" spans="5:10" ht="16.8">
      <c r="E324" s="789" t="s">
        <v>6</v>
      </c>
      <c r="F324" s="790"/>
      <c r="G324" s="790"/>
      <c r="H324" s="790"/>
      <c r="I324" s="790"/>
      <c r="J324" s="791"/>
    </row>
    <row r="325" spans="5:10" hidden="1">
      <c r="E325" s="402" t="s">
        <v>174</v>
      </c>
      <c r="F325" s="403">
        <f>ROUND(F8,0)</f>
        <v>353517</v>
      </c>
      <c r="G325" s="403">
        <f>ROUND(F16,0)</f>
        <v>353517</v>
      </c>
      <c r="H325" s="131" t="str">
        <f>IF(F325=G325,"","EL BALANCE NO CUADRA")</f>
        <v/>
      </c>
      <c r="I325" s="131"/>
      <c r="J325" s="404"/>
    </row>
    <row r="326" spans="5:10" hidden="1">
      <c r="E326" s="402"/>
      <c r="F326" s="131"/>
      <c r="G326" s="131"/>
      <c r="H326" s="131"/>
      <c r="I326" s="131"/>
      <c r="J326" s="404"/>
    </row>
    <row r="327" spans="5:10" ht="13.8" hidden="1">
      <c r="E327" s="405" t="s">
        <v>167</v>
      </c>
      <c r="F327" s="131"/>
      <c r="G327" s="406" t="s">
        <v>170</v>
      </c>
      <c r="H327" s="131"/>
      <c r="I327" s="131"/>
      <c r="J327" s="404"/>
    </row>
    <row r="328" spans="5:10" hidden="1">
      <c r="E328" s="402" t="s">
        <v>168</v>
      </c>
      <c r="F328" s="403">
        <f>+F10</f>
        <v>292368.73</v>
      </c>
      <c r="G328" s="131">
        <f>IF(F329=0,0,F328/F329)</f>
        <v>1.5068574759798288</v>
      </c>
      <c r="H328" s="131"/>
      <c r="I328" s="131"/>
      <c r="J328" s="404"/>
    </row>
    <row r="329" spans="5:10" hidden="1">
      <c r="E329" s="402" t="s">
        <v>169</v>
      </c>
      <c r="F329" s="403">
        <f>+F19</f>
        <v>194025.47</v>
      </c>
      <c r="G329" s="131"/>
      <c r="H329" s="131"/>
      <c r="I329" s="131"/>
      <c r="J329" s="404"/>
    </row>
    <row r="330" spans="5:10" hidden="1">
      <c r="E330" s="407" t="s">
        <v>171</v>
      </c>
      <c r="F330" s="131">
        <v>2</v>
      </c>
      <c r="G330" s="131" t="s">
        <v>182</v>
      </c>
      <c r="H330" s="131"/>
      <c r="I330" s="131"/>
      <c r="J330" s="404"/>
    </row>
    <row r="331" spans="5:10" hidden="1">
      <c r="E331" s="407" t="s">
        <v>172</v>
      </c>
      <c r="F331" s="131">
        <v>1.8</v>
      </c>
      <c r="G331" s="131" t="s">
        <v>183</v>
      </c>
      <c r="H331" s="131"/>
      <c r="I331" s="131"/>
      <c r="J331" s="404"/>
    </row>
    <row r="332" spans="5:10" hidden="1">
      <c r="E332" s="407" t="s">
        <v>173</v>
      </c>
      <c r="F332" s="131">
        <v>2.2000000000000002</v>
      </c>
      <c r="G332" s="131" t="s">
        <v>184</v>
      </c>
      <c r="H332" s="131"/>
      <c r="I332" s="131"/>
      <c r="J332" s="404"/>
    </row>
    <row r="333" spans="5:10" hidden="1">
      <c r="E333" s="402"/>
      <c r="F333" s="131"/>
      <c r="G333" s="131"/>
      <c r="H333" s="131"/>
      <c r="I333" s="131"/>
      <c r="J333" s="404"/>
    </row>
    <row r="334" spans="5:10" hidden="1">
      <c r="E334" s="408" t="s">
        <v>176</v>
      </c>
      <c r="F334" s="131"/>
      <c r="G334" s="406" t="s">
        <v>170</v>
      </c>
      <c r="H334" s="131"/>
      <c r="I334" s="131"/>
      <c r="J334" s="404"/>
    </row>
    <row r="335" spans="5:10" hidden="1">
      <c r="E335" s="407" t="s">
        <v>177</v>
      </c>
      <c r="F335" s="403">
        <f>+F12+F13</f>
        <v>174440.03</v>
      </c>
      <c r="G335" s="131">
        <f>IF(F336=0,0,F335/F336)</f>
        <v>0.89905737633311744</v>
      </c>
      <c r="H335" s="131"/>
      <c r="I335" s="131"/>
      <c r="J335" s="404"/>
    </row>
    <row r="336" spans="5:10" hidden="1">
      <c r="E336" s="407" t="s">
        <v>178</v>
      </c>
      <c r="F336" s="403">
        <f>+F329</f>
        <v>194025.47</v>
      </c>
      <c r="G336" s="131"/>
      <c r="H336" s="131"/>
      <c r="I336" s="131"/>
      <c r="J336" s="404"/>
    </row>
    <row r="337" spans="5:10" hidden="1">
      <c r="E337" s="407" t="s">
        <v>171</v>
      </c>
      <c r="F337" s="131">
        <v>1</v>
      </c>
      <c r="G337" s="131" t="s">
        <v>182</v>
      </c>
      <c r="H337" s="131"/>
      <c r="I337" s="131"/>
      <c r="J337" s="404"/>
    </row>
    <row r="338" spans="5:10" hidden="1">
      <c r="E338" s="407" t="s">
        <v>172</v>
      </c>
      <c r="F338" s="409">
        <v>0.95</v>
      </c>
      <c r="G338" s="131" t="s">
        <v>183</v>
      </c>
      <c r="H338" s="131"/>
      <c r="I338" s="131"/>
      <c r="J338" s="404"/>
    </row>
    <row r="339" spans="5:10" hidden="1">
      <c r="E339" s="407" t="s">
        <v>173</v>
      </c>
      <c r="F339" s="409">
        <v>1.1000000000000001</v>
      </c>
      <c r="G339" s="131" t="s">
        <v>184</v>
      </c>
      <c r="H339" s="131"/>
      <c r="I339" s="131"/>
      <c r="J339" s="404"/>
    </row>
    <row r="340" spans="5:10" hidden="1">
      <c r="E340" s="402"/>
      <c r="F340" s="131"/>
      <c r="G340" s="406" t="s">
        <v>170</v>
      </c>
      <c r="H340" s="131"/>
      <c r="I340" s="131"/>
      <c r="J340" s="404"/>
    </row>
    <row r="341" spans="5:10" hidden="1">
      <c r="E341" s="407" t="s">
        <v>179</v>
      </c>
      <c r="F341" s="131"/>
      <c r="G341" s="410">
        <f>$G$17</f>
        <v>0.32030797073213318</v>
      </c>
      <c r="H341" s="131"/>
      <c r="I341" s="131"/>
      <c r="J341" s="404"/>
    </row>
    <row r="342" spans="5:10" hidden="1">
      <c r="E342" s="407" t="s">
        <v>180</v>
      </c>
      <c r="F342" s="409" t="s">
        <v>181</v>
      </c>
      <c r="G342" s="131" t="s">
        <v>182</v>
      </c>
      <c r="H342" s="131"/>
      <c r="I342" s="131"/>
      <c r="J342" s="404"/>
    </row>
    <row r="343" spans="5:10" hidden="1">
      <c r="E343" s="407" t="s">
        <v>172</v>
      </c>
      <c r="F343" s="411">
        <v>0.39</v>
      </c>
      <c r="G343" s="131" t="s">
        <v>183</v>
      </c>
      <c r="H343" s="131"/>
      <c r="I343" s="131"/>
      <c r="J343" s="404"/>
    </row>
    <row r="344" spans="5:10" hidden="1">
      <c r="E344" s="407" t="s">
        <v>173</v>
      </c>
      <c r="F344" s="411">
        <v>0.51</v>
      </c>
      <c r="G344" s="131" t="s">
        <v>184</v>
      </c>
      <c r="H344" s="131"/>
      <c r="I344" s="131"/>
      <c r="J344" s="404"/>
    </row>
    <row r="345" spans="5:10" hidden="1">
      <c r="E345" s="402"/>
      <c r="F345" s="131"/>
      <c r="G345" s="406" t="s">
        <v>170</v>
      </c>
      <c r="H345" s="131"/>
      <c r="I345" s="131"/>
      <c r="J345" s="404"/>
    </row>
    <row r="346" spans="5:10" hidden="1">
      <c r="E346" s="407" t="s">
        <v>185</v>
      </c>
      <c r="F346" s="131"/>
      <c r="G346" s="412">
        <f>$O$10</f>
        <v>2.1219953650053842</v>
      </c>
      <c r="H346" s="131"/>
      <c r="I346" s="131"/>
      <c r="J346" s="404"/>
    </row>
    <row r="347" spans="5:10" hidden="1">
      <c r="E347" s="407" t="s">
        <v>180</v>
      </c>
      <c r="F347" s="131">
        <v>1</v>
      </c>
      <c r="G347" s="131" t="s">
        <v>182</v>
      </c>
      <c r="H347" s="131"/>
      <c r="I347" s="131"/>
      <c r="J347" s="404"/>
    </row>
    <row r="348" spans="5:10" hidden="1">
      <c r="E348" s="407" t="s">
        <v>187</v>
      </c>
      <c r="F348" s="131">
        <v>1.1000000000000001</v>
      </c>
      <c r="G348" s="131" t="s">
        <v>186</v>
      </c>
      <c r="H348" s="131"/>
      <c r="I348" s="131"/>
      <c r="J348" s="404"/>
    </row>
    <row r="349" spans="5:10" hidden="1">
      <c r="E349" s="407" t="s">
        <v>243</v>
      </c>
      <c r="F349" s="131">
        <v>0.9</v>
      </c>
      <c r="G349" s="131" t="s">
        <v>188</v>
      </c>
      <c r="H349" s="131"/>
      <c r="I349" s="131"/>
      <c r="J349" s="404"/>
    </row>
    <row r="350" spans="5:10" hidden="1">
      <c r="E350" s="402"/>
      <c r="F350" s="131"/>
      <c r="G350" s="131"/>
      <c r="H350" s="131"/>
      <c r="I350" s="131"/>
      <c r="J350" s="404"/>
    </row>
    <row r="351" spans="5:10" hidden="1">
      <c r="E351" s="407" t="s">
        <v>189</v>
      </c>
      <c r="F351" s="131"/>
      <c r="G351" s="412">
        <f>$O$17</f>
        <v>0.25448371206740866</v>
      </c>
      <c r="H351" s="131"/>
      <c r="I351" s="131"/>
      <c r="J351" s="404"/>
    </row>
    <row r="352" spans="5:10" hidden="1">
      <c r="E352" s="407" t="s">
        <v>180</v>
      </c>
      <c r="F352" s="413"/>
      <c r="G352" s="131" t="s">
        <v>182</v>
      </c>
      <c r="H352" s="131"/>
      <c r="I352" s="131"/>
      <c r="J352" s="404"/>
    </row>
    <row r="353" spans="5:10" hidden="1">
      <c r="E353" s="407" t="s">
        <v>172</v>
      </c>
      <c r="F353" s="131">
        <v>1.5</v>
      </c>
      <c r="G353" s="131" t="s">
        <v>183</v>
      </c>
      <c r="H353" s="131"/>
      <c r="I353" s="131"/>
      <c r="J353" s="404"/>
    </row>
    <row r="354" spans="5:10">
      <c r="E354" s="414"/>
      <c r="F354" s="415"/>
      <c r="G354" s="415"/>
      <c r="H354" s="415"/>
      <c r="I354" s="415"/>
      <c r="J354" s="416"/>
    </row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</sheetData>
  <sheetProtection password="EED3" sheet="1" objects="1" scenarios="1" formatCells="0" formatColumns="0" formatRows="0"/>
  <mergeCells count="21">
    <mergeCell ref="J16:L16"/>
    <mergeCell ref="N12:P12"/>
    <mergeCell ref="P2:Q2"/>
    <mergeCell ref="L2:O2"/>
    <mergeCell ref="N4:P4"/>
    <mergeCell ref="E324:J324"/>
    <mergeCell ref="D7:G7"/>
    <mergeCell ref="D15:G15"/>
    <mergeCell ref="J18:L18"/>
    <mergeCell ref="J19:L19"/>
    <mergeCell ref="J14:L14"/>
    <mergeCell ref="J13:L13"/>
    <mergeCell ref="J9:L9"/>
    <mergeCell ref="J6:P7"/>
    <mergeCell ref="N9:P9"/>
    <mergeCell ref="N16:P16"/>
    <mergeCell ref="N18:P18"/>
    <mergeCell ref="N19:P19"/>
    <mergeCell ref="J11:L11"/>
    <mergeCell ref="N11:P11"/>
    <mergeCell ref="E20:G20"/>
  </mergeCells>
  <phoneticPr fontId="3" type="noConversion"/>
  <conditionalFormatting sqref="F4:P5 O5:P5">
    <cfRule type="cellIs" dxfId="17" priority="4" stopIfTrue="1" operator="lessThan">
      <formula>0</formula>
    </cfRule>
  </conditionalFormatting>
  <conditionalFormatting sqref="J10:L12 I7:I12 J8:L8 N8:O8 F8:H13 M8:M13 N10:P10 N13:O13 J15:L15 N15:O15 H15:I19 M15:M19 F16:G19 J17:L17 N17:P17">
    <cfRule type="cellIs" dxfId="16" priority="9" stopIfTrue="1" operator="lessThan">
      <formula>0</formula>
    </cfRule>
  </conditionalFormatting>
  <conditionalFormatting sqref="J11:L11">
    <cfRule type="cellIs" dxfId="15" priority="1" stopIfTrue="1" operator="equal">
      <formula>$G$353</formula>
    </cfRule>
  </conditionalFormatting>
  <conditionalFormatting sqref="J13:L13">
    <cfRule type="cellIs" dxfId="14" priority="3" stopIfTrue="1" operator="equal">
      <formula>$G$338</formula>
    </cfRule>
  </conditionalFormatting>
  <conditionalFormatting sqref="J18:L18">
    <cfRule type="cellIs" dxfId="13" priority="7" stopIfTrue="1" operator="equal">
      <formula>$G$338</formula>
    </cfRule>
  </conditionalFormatting>
  <conditionalFormatting sqref="N11:P11">
    <cfRule type="cellIs" dxfId="12" priority="6" stopIfTrue="1" operator="equal">
      <formula>$G$348</formula>
    </cfRule>
  </conditionalFormatting>
  <conditionalFormatting sqref="N18:P18">
    <cfRule type="cellIs" dxfId="11" priority="5" stopIfTrue="1" operator="equal">
      <formula>$G$353</formula>
    </cfRule>
  </conditionalFormatting>
  <dataValidations count="1">
    <dataValidation type="list" allowBlank="1" showInputMessage="1" showErrorMessage="1" sqref="F4" xr:uid="{00000000-0002-0000-0300-000000000000}">
      <formula1>balance</formula1>
    </dataValidation>
  </dataValidations>
  <printOptions horizontalCentered="1" verticalCentered="1"/>
  <pageMargins left="0.78740157480314965" right="0.78740157480314965" top="0.98425196850393704" bottom="0.98425196850393704" header="0" footer="0"/>
  <pageSetup paperSize="9" scale="74" orientation="landscape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  <pageSetUpPr fitToPage="1"/>
  </sheetPr>
  <dimension ref="A1:BZ411"/>
  <sheetViews>
    <sheetView showGridLines="0" showRowColHeaders="0" showOutlineSymbols="0" topLeftCell="B1" zoomScale="75" zoomScaleNormal="75" workbookViewId="0">
      <pane xSplit="8" ySplit="2" topLeftCell="J3" activePane="bottomRight" state="frozen"/>
      <selection activeCell="B1" sqref="B1"/>
      <selection pane="topRight" activeCell="J1" sqref="J1"/>
      <selection pane="bottomLeft" activeCell="B3" sqref="B3"/>
      <selection pane="bottomRight" activeCell="L9" sqref="L9"/>
    </sheetView>
  </sheetViews>
  <sheetFormatPr baseColWidth="10" defaultRowHeight="13.2"/>
  <cols>
    <col min="1" max="1" width="4.6640625" hidden="1" customWidth="1"/>
    <col min="2" max="2" width="4.6640625" customWidth="1"/>
    <col min="3" max="3" width="3.6640625" customWidth="1"/>
    <col min="4" max="4" width="28.6640625" customWidth="1"/>
    <col min="5" max="9" width="12.109375" customWidth="1"/>
    <col min="10" max="10" width="2.109375" customWidth="1"/>
    <col min="11" max="11" width="2.33203125" customWidth="1"/>
    <col min="12" max="12" width="24.6640625" customWidth="1"/>
    <col min="13" max="13" width="50" customWidth="1"/>
    <col min="14" max="14" width="2.5546875" customWidth="1"/>
    <col min="15" max="77" width="4.6640625" customWidth="1"/>
    <col min="78" max="78" width="20.6640625" customWidth="1"/>
  </cols>
  <sheetData>
    <row r="1" spans="1:78" ht="12.75" customHeight="1" thickBot="1"/>
    <row r="2" spans="1:78" ht="33" customHeight="1" thickBot="1">
      <c r="C2" s="826" t="s">
        <v>261</v>
      </c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349"/>
    </row>
    <row r="3" spans="1:78" ht="15" customHeight="1">
      <c r="C3" s="97"/>
      <c r="D3" s="98"/>
      <c r="E3" s="98"/>
      <c r="F3" s="98"/>
      <c r="G3" s="98"/>
      <c r="H3" s="98"/>
      <c r="I3" s="98"/>
      <c r="J3" s="98"/>
      <c r="K3" s="391"/>
      <c r="L3" s="391"/>
      <c r="M3" s="391"/>
      <c r="N3" s="392"/>
    </row>
    <row r="4" spans="1:78" ht="20.399999999999999">
      <c r="C4" s="221"/>
      <c r="D4" s="259" t="s">
        <v>56</v>
      </c>
      <c r="E4" s="260">
        <f>INICIO!K5</f>
        <v>2026</v>
      </c>
      <c r="F4" s="260">
        <f>DATOS!I6</f>
        <v>2025</v>
      </c>
      <c r="G4" s="260">
        <f>DATOS!J6</f>
        <v>2024</v>
      </c>
      <c r="H4" s="260">
        <f>DATOS!K6</f>
        <v>2023</v>
      </c>
      <c r="I4" s="260">
        <f>DATOS!L6</f>
        <v>2022</v>
      </c>
      <c r="J4" s="227"/>
      <c r="K4" s="378"/>
      <c r="L4" s="379" t="s">
        <v>391</v>
      </c>
      <c r="M4" s="380"/>
      <c r="N4" s="381"/>
    </row>
    <row r="5" spans="1:78" ht="3.9" customHeight="1">
      <c r="C5" s="242"/>
      <c r="D5" s="225"/>
      <c r="E5" s="243"/>
      <c r="F5" s="228"/>
      <c r="G5" s="228"/>
      <c r="H5" s="228"/>
      <c r="I5" s="228"/>
      <c r="J5" s="228"/>
      <c r="K5" s="382"/>
      <c r="L5" s="383"/>
      <c r="M5" s="383"/>
      <c r="N5" s="381"/>
    </row>
    <row r="6" spans="1:78" ht="20.399999999999999">
      <c r="A6" s="78"/>
      <c r="B6" s="78"/>
      <c r="C6" s="390">
        <v>1</v>
      </c>
      <c r="D6" s="830" t="s">
        <v>55</v>
      </c>
      <c r="E6" s="830"/>
      <c r="F6" s="830"/>
      <c r="G6" s="830"/>
      <c r="H6" s="830"/>
      <c r="I6" s="831"/>
      <c r="J6" s="228"/>
      <c r="K6" s="382"/>
      <c r="L6" s="383"/>
      <c r="M6" s="383"/>
      <c r="N6" s="381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</row>
    <row r="7" spans="1:78" ht="18" customHeight="1">
      <c r="A7" s="78"/>
      <c r="B7" s="78"/>
      <c r="C7" s="244"/>
      <c r="D7" s="245" t="s">
        <v>376</v>
      </c>
      <c r="E7" s="417">
        <f>Calc1!C78</f>
        <v>0</v>
      </c>
      <c r="F7" s="418">
        <f>Calc1!D78</f>
        <v>0.34956122988681326</v>
      </c>
      <c r="G7" s="418">
        <f>Calc1!E78</f>
        <v>0.46041503963835628</v>
      </c>
      <c r="H7" s="418">
        <f>Calc1!F78</f>
        <v>0.33192430842317472</v>
      </c>
      <c r="I7" s="419">
        <f>Calc1!G78</f>
        <v>0.18585750844576843</v>
      </c>
      <c r="J7" s="228"/>
      <c r="K7" s="382"/>
      <c r="L7" s="384" t="s">
        <v>246</v>
      </c>
      <c r="M7" s="384"/>
      <c r="N7" s="381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</row>
    <row r="8" spans="1:78" ht="18" customHeight="1">
      <c r="A8" s="78"/>
      <c r="B8" s="78"/>
      <c r="C8" s="244"/>
      <c r="D8" s="245" t="s">
        <v>377</v>
      </c>
      <c r="E8" s="420">
        <f>Calc1!C79</f>
        <v>0</v>
      </c>
      <c r="F8" s="421">
        <f>Calc1!D79</f>
        <v>0.1260032103391531</v>
      </c>
      <c r="G8" s="421">
        <f>Calc1!E79</f>
        <v>0.14784295237778247</v>
      </c>
      <c r="H8" s="421">
        <f>Calc1!F79</f>
        <v>8.9832659787875094E-2</v>
      </c>
      <c r="I8" s="422">
        <f>Calc1!G79</f>
        <v>5.9531641375594385E-2</v>
      </c>
      <c r="J8" s="228"/>
      <c r="K8" s="382"/>
      <c r="L8" s="384" t="s">
        <v>247</v>
      </c>
      <c r="M8" s="384"/>
      <c r="N8" s="381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</row>
    <row r="9" spans="1:78" ht="18" customHeight="1">
      <c r="A9" s="78"/>
      <c r="B9" s="78"/>
      <c r="C9" s="244"/>
      <c r="D9" s="245" t="s">
        <v>378</v>
      </c>
      <c r="E9" s="420">
        <f>Calc1!C80</f>
        <v>0</v>
      </c>
      <c r="F9" s="421">
        <f>Calc1!D80</f>
        <v>6.992995416666667</v>
      </c>
      <c r="G9" s="421">
        <f>Calc1!E80</f>
        <v>5.9909529166666662</v>
      </c>
      <c r="H9" s="421">
        <f>Calc1!F80</f>
        <v>2.3441199999999998</v>
      </c>
      <c r="I9" s="422">
        <f>Calc1!G80</f>
        <v>0.87689291666666669</v>
      </c>
      <c r="J9" s="228"/>
      <c r="K9" s="382"/>
      <c r="L9" s="384" t="s">
        <v>248</v>
      </c>
      <c r="M9" s="384"/>
      <c r="N9" s="381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</row>
    <row r="10" spans="1:78" ht="18" customHeight="1">
      <c r="A10" s="78"/>
      <c r="B10" s="78"/>
      <c r="C10" s="244"/>
      <c r="D10" s="246" t="s">
        <v>379</v>
      </c>
      <c r="E10" s="423">
        <f>Calc1!C81</f>
        <v>0</v>
      </c>
      <c r="F10" s="424">
        <f>Calc1!D81</f>
        <v>7.6453714243195733E-2</v>
      </c>
      <c r="G10" s="424">
        <f>Calc1!E81</f>
        <v>8.4176472164450677E-2</v>
      </c>
      <c r="H10" s="424">
        <f>Calc1!F81</f>
        <v>5.310800791342063E-2</v>
      </c>
      <c r="I10" s="425">
        <f>Calc1!G81</f>
        <v>3.9533429034398861E-2</v>
      </c>
      <c r="J10" s="228"/>
      <c r="K10" s="382"/>
      <c r="L10" s="384" t="s">
        <v>249</v>
      </c>
      <c r="M10" s="384"/>
      <c r="N10" s="381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</row>
    <row r="11" spans="1:78" ht="6" customHeight="1">
      <c r="A11" s="78"/>
      <c r="B11" s="78"/>
      <c r="C11" s="242"/>
      <c r="D11" s="225"/>
      <c r="E11" s="243"/>
      <c r="F11" s="228"/>
      <c r="G11" s="228"/>
      <c r="H11" s="228"/>
      <c r="I11" s="228"/>
      <c r="J11" s="228"/>
      <c r="K11" s="382"/>
      <c r="L11" s="383"/>
      <c r="M11" s="383"/>
      <c r="N11" s="381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</row>
    <row r="12" spans="1:78" ht="20.399999999999999">
      <c r="A12" s="78"/>
      <c r="B12" s="78"/>
      <c r="C12" s="390">
        <v>2</v>
      </c>
      <c r="D12" s="828" t="s">
        <v>380</v>
      </c>
      <c r="E12" s="828"/>
      <c r="F12" s="828"/>
      <c r="G12" s="828"/>
      <c r="H12" s="828"/>
      <c r="I12" s="829"/>
      <c r="J12" s="247"/>
      <c r="K12" s="385"/>
      <c r="L12" s="386"/>
      <c r="M12" s="386"/>
      <c r="N12" s="381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</row>
    <row r="13" spans="1:78" ht="18" customHeight="1">
      <c r="A13" s="78"/>
      <c r="B13" s="78"/>
      <c r="C13" s="242"/>
      <c r="D13" s="248" t="s">
        <v>51</v>
      </c>
      <c r="E13" s="426">
        <f>Calc1!C54</f>
        <v>0</v>
      </c>
      <c r="F13" s="427">
        <f>Calc1!D54</f>
        <v>242848.97999999998</v>
      </c>
      <c r="G13" s="427">
        <f>Calc1!E54</f>
        <v>189541.10000000003</v>
      </c>
      <c r="H13" s="427">
        <f>Calc1!F54</f>
        <v>142527.04999999999</v>
      </c>
      <c r="I13" s="428">
        <f>Calc1!G54</f>
        <v>98343.25999999998</v>
      </c>
      <c r="J13" s="228"/>
      <c r="K13" s="382"/>
      <c r="L13" s="384" t="s">
        <v>387</v>
      </c>
      <c r="M13" s="384"/>
      <c r="N13" s="381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</row>
    <row r="14" spans="1:78" ht="18" customHeight="1">
      <c r="A14" s="78"/>
      <c r="B14" s="78"/>
      <c r="C14" s="159"/>
      <c r="D14" s="249" t="s">
        <v>381</v>
      </c>
      <c r="E14" s="429">
        <f>Calc1!C60</f>
        <v>0</v>
      </c>
      <c r="F14" s="430">
        <f>Calc1!D60</f>
        <v>0.40433412034382576</v>
      </c>
      <c r="G14" s="430">
        <f>Calc1!E60</f>
        <v>0.48349831165583596</v>
      </c>
      <c r="H14" s="430">
        <f>Calc1!F60</f>
        <v>0.42207328774859321</v>
      </c>
      <c r="I14" s="431">
        <f>Calc1!G60</f>
        <v>0.50685747597982878</v>
      </c>
      <c r="J14" s="228"/>
      <c r="K14" s="382"/>
      <c r="L14" s="384" t="s">
        <v>148</v>
      </c>
      <c r="M14" s="384"/>
      <c r="N14" s="381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</row>
    <row r="15" spans="1:78" ht="18" customHeight="1">
      <c r="A15" s="78"/>
      <c r="B15" s="78"/>
      <c r="C15" s="159"/>
      <c r="D15" s="246" t="s">
        <v>382</v>
      </c>
      <c r="E15" s="432">
        <f>Calc1!C61</f>
        <v>0</v>
      </c>
      <c r="F15" s="433">
        <f>Calc1!D61</f>
        <v>39.825651415960095</v>
      </c>
      <c r="G15" s="433">
        <f>Calc1!E61</f>
        <v>39.947487528528065</v>
      </c>
      <c r="H15" s="433">
        <f>Calc1!F61</f>
        <v>48.436050837477374</v>
      </c>
      <c r="I15" s="434">
        <f>Calc1!G61</f>
        <v>66.504921233717567</v>
      </c>
      <c r="J15" s="228"/>
      <c r="K15" s="382"/>
      <c r="L15" s="384" t="s">
        <v>244</v>
      </c>
      <c r="M15" s="384"/>
      <c r="N15" s="381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</row>
    <row r="16" spans="1:78" ht="6" customHeight="1">
      <c r="A16" s="78"/>
      <c r="B16" s="78"/>
      <c r="C16" s="159"/>
      <c r="D16" s="250"/>
      <c r="E16" s="251"/>
      <c r="F16" s="251"/>
      <c r="G16" s="251"/>
      <c r="H16" s="251"/>
      <c r="I16" s="251"/>
      <c r="J16" s="228"/>
      <c r="K16" s="382"/>
      <c r="L16" s="383"/>
      <c r="M16" s="383"/>
      <c r="N16" s="381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</row>
    <row r="17" spans="1:78" ht="20.399999999999999">
      <c r="A17" s="78"/>
      <c r="B17" s="78"/>
      <c r="C17" s="390">
        <v>3</v>
      </c>
      <c r="D17" s="828" t="s">
        <v>50</v>
      </c>
      <c r="E17" s="828"/>
      <c r="F17" s="828"/>
      <c r="G17" s="828"/>
      <c r="H17" s="828"/>
      <c r="I17" s="829"/>
      <c r="J17" s="228"/>
      <c r="K17" s="382"/>
      <c r="L17" s="383"/>
      <c r="M17" s="383"/>
      <c r="N17" s="381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</row>
    <row r="18" spans="1:78" ht="18" customHeight="1">
      <c r="A18" s="78"/>
      <c r="B18" s="78"/>
      <c r="C18" s="242"/>
      <c r="D18" s="248" t="s">
        <v>57</v>
      </c>
      <c r="E18" s="435">
        <f>Calc1!C56</f>
        <v>0</v>
      </c>
      <c r="F18" s="436">
        <f>Calc1!D56</f>
        <v>1.4043341203438258</v>
      </c>
      <c r="G18" s="436">
        <f>Calc1!E56</f>
        <v>1.483498311655836</v>
      </c>
      <c r="H18" s="436">
        <f>Calc1!F56</f>
        <v>1.4220732877485931</v>
      </c>
      <c r="I18" s="437">
        <f>Calc1!G56</f>
        <v>1.5068574759798288</v>
      </c>
      <c r="J18" s="228"/>
      <c r="K18" s="382"/>
      <c r="L18" s="384" t="s">
        <v>388</v>
      </c>
      <c r="M18" s="383"/>
      <c r="N18" s="381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</row>
    <row r="19" spans="1:78" ht="18" customHeight="1">
      <c r="A19" s="78"/>
      <c r="B19" s="78"/>
      <c r="C19" s="242"/>
      <c r="D19" s="252" t="s">
        <v>383</v>
      </c>
      <c r="E19" s="438">
        <f>Calc1!C57</f>
        <v>0</v>
      </c>
      <c r="F19" s="439">
        <f>Calc1!D57</f>
        <v>1.002936874945483</v>
      </c>
      <c r="G19" s="439">
        <f>Calc1!E57</f>
        <v>1.0222946935462687</v>
      </c>
      <c r="H19" s="439">
        <f>Calc1!F57</f>
        <v>0.91415320123436405</v>
      </c>
      <c r="I19" s="440">
        <f>Calc1!G57</f>
        <v>0.89905737633311744</v>
      </c>
      <c r="J19" s="228"/>
      <c r="K19" s="382"/>
      <c r="L19" s="384" t="s">
        <v>389</v>
      </c>
      <c r="M19" s="383"/>
      <c r="N19" s="381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</row>
    <row r="20" spans="1:78" ht="18" customHeight="1">
      <c r="A20" s="78"/>
      <c r="B20" s="78"/>
      <c r="C20" s="242"/>
      <c r="D20" s="253" t="s">
        <v>59</v>
      </c>
      <c r="E20" s="441">
        <f>Calc1!C58</f>
        <v>0</v>
      </c>
      <c r="F20" s="442">
        <f>Calc1!D58</f>
        <v>0.12103956312351444</v>
      </c>
      <c r="G20" s="442">
        <f>Calc1!E58</f>
        <v>0.20836235501033759</v>
      </c>
      <c r="H20" s="442">
        <f>Calc1!F58</f>
        <v>0.21089297370393159</v>
      </c>
      <c r="I20" s="443">
        <f>Calc1!G58</f>
        <v>0.12754526506236527</v>
      </c>
      <c r="J20" s="228"/>
      <c r="K20" s="382"/>
      <c r="L20" s="384" t="s">
        <v>149</v>
      </c>
      <c r="M20" s="383"/>
      <c r="N20" s="381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</row>
    <row r="21" spans="1:78" ht="6" customHeight="1">
      <c r="A21" s="78"/>
      <c r="B21" s="78"/>
      <c r="C21" s="159"/>
      <c r="D21" s="254"/>
      <c r="E21" s="255"/>
      <c r="F21" s="255"/>
      <c r="G21" s="255"/>
      <c r="H21" s="255"/>
      <c r="I21" s="255"/>
      <c r="J21" s="228"/>
      <c r="K21" s="382"/>
      <c r="L21" s="384"/>
      <c r="M21" s="383"/>
      <c r="N21" s="381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</row>
    <row r="22" spans="1:78" ht="20.399999999999999">
      <c r="A22" s="78"/>
      <c r="B22" s="78"/>
      <c r="C22" s="390">
        <v>4</v>
      </c>
      <c r="D22" s="830" t="s">
        <v>232</v>
      </c>
      <c r="E22" s="830"/>
      <c r="F22" s="830"/>
      <c r="G22" s="830"/>
      <c r="H22" s="830"/>
      <c r="I22" s="831"/>
      <c r="J22" s="228"/>
      <c r="K22" s="382"/>
      <c r="L22" s="383"/>
      <c r="M22" s="383"/>
      <c r="N22" s="381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</row>
    <row r="23" spans="1:78" ht="18" customHeight="1">
      <c r="A23" s="78"/>
      <c r="B23" s="78"/>
      <c r="C23" s="242"/>
      <c r="D23" s="248" t="s">
        <v>62</v>
      </c>
      <c r="E23" s="435">
        <f>Calc1!C63</f>
        <v>0</v>
      </c>
      <c r="F23" s="436">
        <f>Calc1!D63</f>
        <v>1.7742247911456093</v>
      </c>
      <c r="G23" s="436">
        <f>Calc1!E63</f>
        <v>2.1142170271455325</v>
      </c>
      <c r="H23" s="436">
        <f>Calc1!F63</f>
        <v>2.6950241632255234</v>
      </c>
      <c r="I23" s="437">
        <f>Calc1!G63</f>
        <v>2.1219953650053842</v>
      </c>
      <c r="J23" s="228"/>
      <c r="K23" s="382"/>
      <c r="L23" s="384" t="s">
        <v>150</v>
      </c>
      <c r="M23" s="383"/>
      <c r="N23" s="381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</row>
    <row r="24" spans="1:78" ht="18" customHeight="1">
      <c r="A24" s="78"/>
      <c r="B24" s="78"/>
      <c r="C24" s="242"/>
      <c r="D24" s="249" t="s">
        <v>384</v>
      </c>
      <c r="E24" s="438">
        <f>Calc1!C64</f>
        <v>0</v>
      </c>
      <c r="F24" s="439">
        <f>Calc1!D64</f>
        <v>1.2509635788501736</v>
      </c>
      <c r="G24" s="439">
        <f>Calc1!E64</f>
        <v>1.2553094211979909</v>
      </c>
      <c r="H24" s="439">
        <f>Calc1!F64</f>
        <v>1.9923122534191657</v>
      </c>
      <c r="I24" s="440">
        <f>Calc1!G64</f>
        <v>1.7134879367738833</v>
      </c>
      <c r="J24" s="228"/>
      <c r="K24" s="382"/>
      <c r="L24" s="384" t="s">
        <v>151</v>
      </c>
      <c r="M24" s="383"/>
      <c r="N24" s="381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</row>
    <row r="25" spans="1:78" ht="18" customHeight="1">
      <c r="A25" s="78"/>
      <c r="B25" s="78"/>
      <c r="C25" s="159"/>
      <c r="D25" s="253" t="s">
        <v>64</v>
      </c>
      <c r="E25" s="441">
        <f>Calc1!C65</f>
        <v>0</v>
      </c>
      <c r="F25" s="442">
        <f>Calc1!D65</f>
        <v>0.56362643842571059</v>
      </c>
      <c r="G25" s="442">
        <f>Calc1!E65</f>
        <v>0.47298833902124504</v>
      </c>
      <c r="H25" s="442">
        <f>Calc1!F65</f>
        <v>0.37105418706270743</v>
      </c>
      <c r="I25" s="443">
        <f>Calc1!G65</f>
        <v>0.47125456374286784</v>
      </c>
      <c r="J25" s="228"/>
      <c r="K25" s="382"/>
      <c r="L25" s="384" t="s">
        <v>152</v>
      </c>
      <c r="M25" s="383"/>
      <c r="N25" s="381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</row>
    <row r="26" spans="1:78" ht="6" customHeight="1">
      <c r="A26" s="78"/>
      <c r="B26" s="78"/>
      <c r="C26" s="159"/>
      <c r="D26" s="254"/>
      <c r="E26" s="255"/>
      <c r="F26" s="255"/>
      <c r="G26" s="255"/>
      <c r="H26" s="255"/>
      <c r="I26" s="255"/>
      <c r="J26" s="228"/>
      <c r="K26" s="382"/>
      <c r="L26" s="384"/>
      <c r="M26" s="383"/>
      <c r="N26" s="381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</row>
    <row r="27" spans="1:78" ht="20.399999999999999">
      <c r="A27" s="78"/>
      <c r="B27" s="78"/>
      <c r="C27" s="390">
        <v>5</v>
      </c>
      <c r="D27" s="828" t="s">
        <v>65</v>
      </c>
      <c r="E27" s="828"/>
      <c r="F27" s="828"/>
      <c r="G27" s="828"/>
      <c r="H27" s="828"/>
      <c r="I27" s="829"/>
      <c r="J27" s="228"/>
      <c r="K27" s="382"/>
      <c r="L27" s="383"/>
      <c r="M27" s="383"/>
      <c r="N27" s="381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</row>
    <row r="28" spans="1:78" ht="18" customHeight="1">
      <c r="A28" s="78"/>
      <c r="B28" s="78"/>
      <c r="C28" s="242"/>
      <c r="D28" s="248" t="s">
        <v>19</v>
      </c>
      <c r="E28" s="435">
        <f>Calc1!C67</f>
        <v>0</v>
      </c>
      <c r="F28" s="436">
        <f>Calc1!D67</f>
        <v>0.57346394838836678</v>
      </c>
      <c r="G28" s="436">
        <f>Calc1!E67</f>
        <v>0.59216608518330183</v>
      </c>
      <c r="H28" s="436">
        <f>Calc1!F67</f>
        <v>0.31973885040762889</v>
      </c>
      <c r="I28" s="437">
        <f>Calc1!G67</f>
        <v>0.25448371206740866</v>
      </c>
      <c r="J28" s="228"/>
      <c r="K28" s="382"/>
      <c r="L28" s="384" t="s">
        <v>153</v>
      </c>
      <c r="M28" s="384"/>
      <c r="N28" s="381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</row>
    <row r="29" spans="1:78" ht="18" customHeight="1">
      <c r="A29" s="78"/>
      <c r="B29" s="78"/>
      <c r="C29" s="242"/>
      <c r="D29" s="252" t="s">
        <v>61</v>
      </c>
      <c r="E29" s="438">
        <f>Calc1!C68</f>
        <v>0</v>
      </c>
      <c r="F29" s="439">
        <f>Calc1!D68</f>
        <v>1.9444474961091276</v>
      </c>
      <c r="G29" s="439">
        <f>Calc1!E68</f>
        <v>1.4576278187820741</v>
      </c>
      <c r="H29" s="439">
        <f>Calc1!F68</f>
        <v>1.2262549072321338</v>
      </c>
      <c r="I29" s="440">
        <f>Calc1!G68</f>
        <v>1.3219178407947594</v>
      </c>
      <c r="J29" s="228"/>
      <c r="K29" s="382"/>
      <c r="L29" s="384" t="s">
        <v>154</v>
      </c>
      <c r="M29" s="384"/>
      <c r="N29" s="381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</row>
    <row r="30" spans="1:78" ht="18" customHeight="1">
      <c r="A30" s="78"/>
      <c r="B30" s="78"/>
      <c r="C30" s="242"/>
      <c r="D30" s="256" t="s">
        <v>60</v>
      </c>
      <c r="E30" s="441">
        <f>Calc1!C69</f>
        <v>0</v>
      </c>
      <c r="F30" s="442">
        <f>Calc1!D69</f>
        <v>0.66794450344183764</v>
      </c>
      <c r="G30" s="442">
        <f>Calc1!E69</f>
        <v>0.67349642133207721</v>
      </c>
      <c r="H30" s="442">
        <f>Calc1!F69</f>
        <v>0.50607734802801063</v>
      </c>
      <c r="I30" s="443">
        <f>Calc1!G69</f>
        <v>0.3833939719824111</v>
      </c>
      <c r="J30" s="228"/>
      <c r="K30" s="382"/>
      <c r="L30" s="384" t="s">
        <v>156</v>
      </c>
      <c r="M30" s="384"/>
      <c r="N30" s="381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</row>
    <row r="31" spans="1:78" ht="6" customHeight="1">
      <c r="A31" s="78"/>
      <c r="B31" s="78"/>
      <c r="C31" s="242"/>
      <c r="D31" s="254"/>
      <c r="E31" s="257"/>
      <c r="F31" s="257"/>
      <c r="G31" s="257"/>
      <c r="H31" s="257"/>
      <c r="I31" s="257"/>
      <c r="J31" s="228"/>
      <c r="K31" s="382"/>
      <c r="L31" s="384"/>
      <c r="M31" s="384"/>
      <c r="N31" s="381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</row>
    <row r="32" spans="1:78" ht="20.399999999999999">
      <c r="A32" s="78"/>
      <c r="B32" s="78"/>
      <c r="C32" s="390">
        <v>6</v>
      </c>
      <c r="D32" s="830" t="s">
        <v>142</v>
      </c>
      <c r="E32" s="830"/>
      <c r="F32" s="830"/>
      <c r="G32" s="830"/>
      <c r="H32" s="830"/>
      <c r="I32" s="831"/>
      <c r="J32" s="228"/>
      <c r="K32" s="382"/>
      <c r="L32" s="384"/>
      <c r="M32" s="384"/>
      <c r="N32" s="381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</row>
    <row r="33" spans="1:78" ht="18" customHeight="1">
      <c r="A33" s="78"/>
      <c r="B33" s="78"/>
      <c r="C33" s="242"/>
      <c r="D33" s="248" t="s">
        <v>143</v>
      </c>
      <c r="E33" s="444">
        <f>Calc1!C86</f>
        <v>0</v>
      </c>
      <c r="F33" s="445">
        <f>Calc1!D86</f>
        <v>1.6480979581756185</v>
      </c>
      <c r="G33" s="445">
        <f>Calc1!E86</f>
        <v>1.7563453133192644</v>
      </c>
      <c r="H33" s="445">
        <f>Calc1!F86</f>
        <v>1.6915087444877401</v>
      </c>
      <c r="I33" s="446">
        <f>Calc1!G86</f>
        <v>1.505855748657539</v>
      </c>
      <c r="J33" s="228"/>
      <c r="K33" s="382"/>
      <c r="L33" s="384" t="s">
        <v>157</v>
      </c>
      <c r="M33" s="384"/>
      <c r="N33" s="381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</row>
    <row r="34" spans="1:78" ht="18" customHeight="1">
      <c r="A34" s="78"/>
      <c r="B34" s="78"/>
      <c r="C34" s="242"/>
      <c r="D34" s="258" t="s">
        <v>233</v>
      </c>
      <c r="E34" s="447">
        <f>Calc1!C87</f>
        <v>0</v>
      </c>
      <c r="F34" s="439">
        <f>Calc1!D87</f>
        <v>4.4937603274994382</v>
      </c>
      <c r="G34" s="439">
        <f>Calc1!E87</f>
        <v>4.3688354172006933</v>
      </c>
      <c r="H34" s="439">
        <f>Calc1!F87</f>
        <v>7.253055075192977</v>
      </c>
      <c r="I34" s="440">
        <f>Calc1!G87</f>
        <v>8.7058504630897051</v>
      </c>
      <c r="J34" s="228"/>
      <c r="K34" s="382"/>
      <c r="L34" s="384" t="s">
        <v>158</v>
      </c>
      <c r="M34" s="384"/>
      <c r="N34" s="381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</row>
    <row r="35" spans="1:78" ht="18" customHeight="1">
      <c r="A35" s="78"/>
      <c r="B35" s="78"/>
      <c r="C35" s="242"/>
      <c r="D35" s="258" t="s">
        <v>385</v>
      </c>
      <c r="E35" s="448">
        <f>Calc1!C85</f>
        <v>0</v>
      </c>
      <c r="F35" s="430">
        <f>Calc1!D85</f>
        <v>86.864138241481712</v>
      </c>
      <c r="G35" s="430">
        <f>Calc1!E85</f>
        <v>64.481922684792053</v>
      </c>
      <c r="H35" s="430">
        <f>Calc1!F85</f>
        <v>80.704344769929051</v>
      </c>
      <c r="I35" s="431">
        <f>Calc1!G85</f>
        <v>90.238303091958173</v>
      </c>
      <c r="J35" s="228"/>
      <c r="K35" s="382"/>
      <c r="L35" s="384" t="s">
        <v>159</v>
      </c>
      <c r="M35" s="384"/>
      <c r="N35" s="381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</row>
    <row r="36" spans="1:78" ht="18" customHeight="1">
      <c r="A36" s="78"/>
      <c r="B36" s="78"/>
      <c r="C36" s="242"/>
      <c r="D36" s="253" t="s">
        <v>386</v>
      </c>
      <c r="E36" s="449">
        <f>Calc1!C84</f>
        <v>0</v>
      </c>
      <c r="F36" s="433">
        <f>Calc1!D84</f>
        <v>96.937586940816388</v>
      </c>
      <c r="G36" s="433">
        <f>Calc1!E84</f>
        <v>58.565569142108671</v>
      </c>
      <c r="H36" s="433">
        <f>Calc1!F84</f>
        <v>94.766034681410886</v>
      </c>
      <c r="I36" s="434">
        <f>Calc1!G84</f>
        <v>88.595374783218887</v>
      </c>
      <c r="J36" s="228"/>
      <c r="K36" s="382"/>
      <c r="L36" s="384" t="s">
        <v>160</v>
      </c>
      <c r="M36" s="384"/>
      <c r="N36" s="381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</row>
    <row r="37" spans="1:78" ht="20.100000000000001" customHeight="1">
      <c r="A37" s="78"/>
      <c r="B37" s="78"/>
      <c r="C37" s="241"/>
      <c r="D37" s="171"/>
      <c r="E37" s="240"/>
      <c r="F37" s="240"/>
      <c r="G37" s="240"/>
      <c r="H37" s="240"/>
      <c r="I37" s="240"/>
      <c r="J37" s="240"/>
      <c r="K37" s="387"/>
      <c r="L37" s="388"/>
      <c r="M37" s="388"/>
      <c r="N37" s="389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</row>
    <row r="38" spans="1:78" ht="9.9" customHeight="1"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</row>
    <row r="39" spans="1:78" ht="8.1" customHeigh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</sheetData>
  <sheetProtection sheet="1" objects="1" scenarios="1"/>
  <mergeCells count="7">
    <mergeCell ref="C2:M2"/>
    <mergeCell ref="D17:I17"/>
    <mergeCell ref="D22:I22"/>
    <mergeCell ref="D27:I27"/>
    <mergeCell ref="D32:I32"/>
    <mergeCell ref="D6:I6"/>
    <mergeCell ref="D12:I12"/>
  </mergeCells>
  <phoneticPr fontId="3" type="noConversion"/>
  <conditionalFormatting sqref="E7:I9 E33:I35">
    <cfRule type="cellIs" dxfId="10" priority="2" stopIfTrue="1" operator="lessThan">
      <formula>0</formula>
    </cfRule>
    <cfRule type="cellIs" dxfId="9" priority="13" stopIfTrue="1" operator="lessThan">
      <formula>0</formula>
    </cfRule>
  </conditionalFormatting>
  <conditionalFormatting sqref="E10:I10 E13:I15 E18:I20 E23:I25 E28:I30 E36:I36">
    <cfRule type="cellIs" dxfId="8" priority="4" stopIfTrue="1" operator="equal">
      <formula>0</formula>
    </cfRule>
  </conditionalFormatting>
  <conditionalFormatting sqref="E10:I10 E14:I15 E19:I20 E24:I25 E29:I30 E36:I36">
    <cfRule type="cellIs" dxfId="7" priority="5" stopIfTrue="1" operator="lessThanOrEqual">
      <formula>$O10</formula>
    </cfRule>
    <cfRule type="cellIs" priority="10" stopIfTrue="1" operator="equal">
      <formula>0</formula>
    </cfRule>
    <cfRule type="cellIs" dxfId="6" priority="11" stopIfTrue="1" operator="lessThanOrEqual">
      <formula>$O10</formula>
    </cfRule>
  </conditionalFormatting>
  <conditionalFormatting sqref="E13:I13 E18:I18 E23:I23 E28:I28">
    <cfRule type="cellIs" dxfId="5" priority="7" stopIfTrue="1" operator="lessThanOrEqual">
      <formula>$O13</formula>
    </cfRule>
    <cfRule type="cellIs" dxfId="4" priority="8" stopIfTrue="1" operator="equal">
      <formula>0</formula>
    </cfRule>
    <cfRule type="cellIs" dxfId="3" priority="9" stopIfTrue="1" operator="lessThanOrEqual">
      <formula>$O13</formula>
    </cfRule>
  </conditionalFormatting>
  <conditionalFormatting sqref="E31:I31">
    <cfRule type="cellIs" dxfId="2" priority="3" stopIfTrue="1" operator="greaterThan">
      <formula>$O$27</formula>
    </cfRule>
    <cfRule type="cellIs" dxfId="1" priority="12" stopIfTrue="1" operator="greaterThan">
      <formula>$O$27</formula>
    </cfRule>
  </conditionalFormatting>
  <conditionalFormatting sqref="E4:M4">
    <cfRule type="cellIs" dxfId="0" priority="14" stopIfTrue="1" operator="lessThan">
      <formula>0</formula>
    </cfRule>
  </conditionalFormatting>
  <dataValidations count="17">
    <dataValidation allowBlank="1" showInputMessage="1" showErrorMessage="1" promptTitle="Ratio Tesorería" prompt="(D+R) / Exigible corto" sqref="D19" xr:uid="{00000000-0002-0000-0400-000000000000}"/>
    <dataValidation allowBlank="1" showInputMessage="1" showErrorMessage="1" promptTitle="Disponibilidad ordinaria" prompt="Disponible / Exigible corto" sqref="D20" xr:uid="{00000000-0002-0000-0400-000001000000}"/>
    <dataValidation allowBlank="1" showInputMessage="1" showErrorMessage="1" promptTitle="Liquidez general (solvencia f.)" prompt="Circulante / Exigible corto" sqref="D18" xr:uid="{00000000-0002-0000-0400-000002000000}"/>
    <dataValidation allowBlank="1" showInputMessage="1" showErrorMessage="1" promptTitle="Rentabilidad Económica" prompt="Ben. Neto / Activo" sqref="D8" xr:uid="{00000000-0002-0000-0400-000003000000}"/>
    <dataValidation allowBlank="1" showInputMessage="1" showErrorMessage="1" promptTitle="Rentabilidad de las ventas " prompt="Ben. Neto / Ventas" sqref="D10" xr:uid="{00000000-0002-0000-0400-000004000000}"/>
    <dataValidation allowBlank="1" showInputMessage="1" showErrorMessage="1" promptTitle="Rentabilidad Financiera " prompt="Ben. Neto / Patr. Neto" sqref="D7" xr:uid="{00000000-0002-0000-0400-000005000000}"/>
    <dataValidation allowBlank="1" showInputMessage="1" showErrorMessage="1" promptTitle="Rentabilidad Financiera " prompt="Ben. Neto / Capital social" sqref="D9" xr:uid="{00000000-0002-0000-0400-000006000000}"/>
    <dataValidation allowBlank="1" showInputMessage="1" showErrorMessage="1" promptTitle="FdM o capital de trabajo" prompt="Circulante - Exigible al corto" sqref="D13" xr:uid="{00000000-0002-0000-0400-000007000000}"/>
    <dataValidation allowBlank="1" showInputMessage="1" showErrorMessage="1" promptTitle="Ratio de endeudamiento" prompt="Pasivo total/ Patrim. Neto" sqref="D23" xr:uid="{00000000-0002-0000-0400-000008000000}"/>
    <dataValidation allowBlank="1" showInputMessage="1" showErrorMessage="1" promptTitle="Ratio de end. al corto plazo" prompt="Exigible Corto Plazo/ Patrim. Neto" sqref="D24" xr:uid="{00000000-0002-0000-0400-000009000000}"/>
    <dataValidation allowBlank="1" showInputMessage="1" showErrorMessage="1" promptTitle="Ratio de garantía" prompt="Activo real/Pasivo total" sqref="D28" xr:uid="{00000000-0002-0000-0400-00000A000000}"/>
    <dataValidation allowBlank="1" showInputMessage="1" showErrorMessage="1" promptTitle="Ratio de consistencia o firmeza" prompt="Activo Fijo/Exigible a largo plazo" sqref="D29" xr:uid="{00000000-0002-0000-0400-00000B000000}"/>
    <dataValidation allowBlank="1" showInputMessage="1" showErrorMessage="1" promptTitle="Ratio Fondo de Maniobra" prompt="FdM/Exigible a corto plazo" sqref="D14" xr:uid="{00000000-0002-0000-0400-00000C000000}"/>
    <dataValidation allowBlank="1" showInputMessage="1" showErrorMessage="1" promptTitle="Ratio de autonomía" prompt="PN/Pasivo" sqref="D25" xr:uid="{00000000-0002-0000-0400-00000D000000}"/>
    <dataValidation allowBlank="1" showInputMessage="1" showErrorMessage="1" promptTitle="Ratio de estabilidad" prompt="Activo Fijo/Recursos perm." sqref="D30" xr:uid="{00000000-0002-0000-0400-00000E000000}"/>
    <dataValidation allowBlank="1" showInputMessage="1" showErrorMessage="1" promptTitle="Rotación de los activos (total)" prompt="Ventas / Activo total" sqref="D33" xr:uid="{00000000-0002-0000-0400-00000F000000}"/>
    <dataValidation allowBlank="1" showInputMessage="1" showErrorMessage="1" promptTitle="Rotación del activo fijo" prompt="Ventas / Activo Fijo" sqref="D34" xr:uid="{00000000-0002-0000-0400-000010000000}"/>
  </dataValidations>
  <printOptions horizontalCentered="1" verticalCentered="1"/>
  <pageMargins left="0.78740157480314965" right="0.78740157480314965" top="0.98425196850393704" bottom="0.98425196850393704" header="0" footer="0"/>
  <pageSetup paperSize="9" scale="74" orientation="landscape" horizontalDpi="4294967292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  <pageSetUpPr autoPageBreaks="0" fitToPage="1"/>
  </sheetPr>
  <dimension ref="C1:AH378"/>
  <sheetViews>
    <sheetView showGridLines="0" showRowColHeaders="0" showOutlineSymbols="0" zoomScale="75" zoomScaleNormal="75" workbookViewId="0">
      <pane xSplit="7" ySplit="2" topLeftCell="H3" activePane="bottomRight" state="frozen"/>
      <selection activeCell="K18" sqref="K18:L19"/>
      <selection pane="topRight" activeCell="K18" sqref="K18:L19"/>
      <selection pane="bottomLeft" activeCell="K18" sqref="K18:L19"/>
      <selection pane="bottomRight" activeCell="A3" sqref="A3:A122"/>
    </sheetView>
  </sheetViews>
  <sheetFormatPr baseColWidth="10" defaultRowHeight="13.2"/>
  <cols>
    <col min="1" max="1" width="0" hidden="1" customWidth="1"/>
    <col min="2" max="2" width="4.6640625" customWidth="1"/>
    <col min="3" max="3" width="5.6640625" customWidth="1"/>
    <col min="4" max="4" width="3.6640625" customWidth="1"/>
    <col min="5" max="5" width="11.109375" customWidth="1"/>
    <col min="6" max="7" width="12.109375" customWidth="1"/>
    <col min="8" max="8" width="7.6640625" customWidth="1"/>
    <col min="9" max="13" width="18.6640625" customWidth="1"/>
    <col min="14" max="14" width="3.6640625" customWidth="1"/>
    <col min="15" max="15" width="5.6640625" customWidth="1"/>
    <col min="16" max="33" width="10.6640625" customWidth="1"/>
    <col min="34" max="34" width="70" customWidth="1"/>
    <col min="35" max="64" width="11.44140625"/>
  </cols>
  <sheetData>
    <row r="1" spans="3:34" ht="12.75" customHeight="1" thickBot="1"/>
    <row r="2" spans="3:34" ht="33" customHeight="1" thickTop="1" thickBot="1">
      <c r="C2" s="461"/>
      <c r="D2" s="832" t="s">
        <v>218</v>
      </c>
      <c r="E2" s="832"/>
      <c r="F2" s="832"/>
      <c r="G2" s="832"/>
      <c r="H2" s="832"/>
      <c r="I2" s="832"/>
      <c r="J2" s="832"/>
      <c r="K2" s="609" t="s">
        <v>93</v>
      </c>
      <c r="L2" s="350"/>
      <c r="M2" s="350"/>
      <c r="N2" s="350"/>
      <c r="O2" s="351"/>
      <c r="P2" s="50"/>
    </row>
    <row r="3" spans="3:34" ht="14.4" thickTop="1">
      <c r="C3" s="455"/>
      <c r="D3" s="54"/>
      <c r="E3" s="56"/>
      <c r="F3" s="56"/>
      <c r="G3" s="56"/>
      <c r="H3" s="56"/>
      <c r="I3" s="56"/>
      <c r="J3" s="56"/>
      <c r="K3" s="56"/>
      <c r="L3" s="56"/>
      <c r="M3" s="56"/>
      <c r="N3" s="55"/>
      <c r="O3" s="450"/>
      <c r="P3" s="50"/>
    </row>
    <row r="4" spans="3:34" ht="29.4">
      <c r="C4" s="455"/>
      <c r="D4" s="54"/>
      <c r="E4" s="840" t="str">
        <f>INICIO!$F$5</f>
        <v>MiEmpresa</v>
      </c>
      <c r="F4" s="841"/>
      <c r="G4" s="841"/>
      <c r="H4" s="848" t="s">
        <v>231</v>
      </c>
      <c r="I4" s="848"/>
      <c r="J4" s="848"/>
      <c r="K4" s="848"/>
      <c r="L4" s="848"/>
      <c r="M4" s="601"/>
      <c r="N4" s="55"/>
      <c r="O4" s="450"/>
      <c r="P4" s="50"/>
    </row>
    <row r="5" spans="3:34" ht="16.8">
      <c r="C5" s="455"/>
      <c r="D5" s="54"/>
      <c r="E5" s="274"/>
      <c r="F5" s="274"/>
      <c r="G5" s="274"/>
      <c r="H5" s="274"/>
      <c r="I5" s="274"/>
      <c r="J5" s="274"/>
      <c r="K5" s="274"/>
      <c r="L5" s="274"/>
      <c r="M5" s="274"/>
      <c r="N5" s="55"/>
      <c r="O5" s="450"/>
      <c r="P5" s="50"/>
    </row>
    <row r="6" spans="3:34" ht="20.399999999999999">
      <c r="C6" s="456"/>
      <c r="D6" s="54"/>
      <c r="E6" s="838" t="s">
        <v>11</v>
      </c>
      <c r="F6" s="838"/>
      <c r="G6" s="838"/>
      <c r="H6" s="603"/>
      <c r="I6" s="604">
        <f>INICIO!K5</f>
        <v>2026</v>
      </c>
      <c r="J6" s="604">
        <f>DATOS!I6</f>
        <v>2025</v>
      </c>
      <c r="K6" s="604">
        <f>DATOS!J6</f>
        <v>2024</v>
      </c>
      <c r="L6" s="604">
        <f>DATOS!K6</f>
        <v>2023</v>
      </c>
      <c r="M6" s="604">
        <f>DATOS!L6</f>
        <v>2022</v>
      </c>
      <c r="N6" s="55"/>
      <c r="O6" s="451"/>
      <c r="P6" s="81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</row>
    <row r="7" spans="3:34" ht="6" customHeight="1">
      <c r="C7" s="457"/>
      <c r="D7" s="54"/>
      <c r="E7" s="274"/>
      <c r="F7" s="275"/>
      <c r="G7" s="275"/>
      <c r="H7" s="152"/>
      <c r="I7" s="275"/>
      <c r="J7" s="275"/>
      <c r="K7" s="275"/>
      <c r="L7" s="275"/>
      <c r="M7" s="274"/>
      <c r="N7" s="55"/>
      <c r="O7" s="452"/>
      <c r="P7" s="49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</row>
    <row r="8" spans="3:34" ht="20.399999999999999">
      <c r="C8" s="458"/>
      <c r="D8" s="54"/>
      <c r="E8" s="839" t="s">
        <v>13</v>
      </c>
      <c r="F8" s="839"/>
      <c r="G8" s="839"/>
      <c r="H8" s="276"/>
      <c r="I8" s="277">
        <f>Calc1!C20</f>
        <v>0</v>
      </c>
      <c r="J8" s="277">
        <f>Calc1!D20</f>
        <v>1331965.19</v>
      </c>
      <c r="K8" s="277">
        <f>Calc1!E20</f>
        <v>972537.87</v>
      </c>
      <c r="L8" s="277">
        <f>Calc1!F20</f>
        <v>626263.1</v>
      </c>
      <c r="M8" s="278">
        <f>Calc1!G20</f>
        <v>353516.70999999996</v>
      </c>
      <c r="N8" s="55"/>
      <c r="O8" s="452"/>
      <c r="P8" s="49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</row>
    <row r="9" spans="3:34" ht="15.9" customHeight="1">
      <c r="C9" s="458"/>
      <c r="D9" s="54"/>
      <c r="E9" s="842" t="s">
        <v>220</v>
      </c>
      <c r="F9" s="842"/>
      <c r="G9" s="842"/>
      <c r="H9" s="279"/>
      <c r="I9" s="280">
        <f>Calc1!C7</f>
        <v>0</v>
      </c>
      <c r="J9" s="280">
        <f>Calc1!D7</f>
        <v>488501.60000000003</v>
      </c>
      <c r="K9" s="280">
        <f>Calc1!E7</f>
        <v>390976.57999999996</v>
      </c>
      <c r="L9" s="280">
        <f>Calc1!F7</f>
        <v>146052.87</v>
      </c>
      <c r="M9" s="281">
        <f>Calc1!G7</f>
        <v>61147.98</v>
      </c>
      <c r="N9" s="55"/>
      <c r="O9" s="452"/>
      <c r="P9" s="49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</row>
    <row r="10" spans="3:34" ht="15.9" customHeight="1">
      <c r="C10" s="458"/>
      <c r="D10" s="54"/>
      <c r="E10" s="834" t="s">
        <v>245</v>
      </c>
      <c r="F10" s="834"/>
      <c r="G10" s="834"/>
      <c r="H10" s="152"/>
      <c r="I10" s="282" t="str">
        <f>IF(I$8=0,"",I9/I$8)</f>
        <v/>
      </c>
      <c r="J10" s="282">
        <f>IF(J$8=0,"",J9/J$8)</f>
        <v>0.3667525275191314</v>
      </c>
      <c r="K10" s="282">
        <f>IF(K$8=0,"",K9/K$8)</f>
        <v>0.40201681812143725</v>
      </c>
      <c r="L10" s="282">
        <f>IF(L$8=0,"",L9/L$8)</f>
        <v>0.23321327729511765</v>
      </c>
      <c r="M10" s="282">
        <f>IF(M$8=0,"",M9/M$8)</f>
        <v>0.17297055067071657</v>
      </c>
      <c r="N10" s="55"/>
      <c r="O10" s="452"/>
      <c r="P10" s="49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</row>
    <row r="11" spans="3:34" ht="15.9" customHeight="1">
      <c r="C11" s="458"/>
      <c r="D11" s="54"/>
      <c r="E11" s="839" t="s">
        <v>221</v>
      </c>
      <c r="F11" s="839"/>
      <c r="G11" s="839"/>
      <c r="H11" s="276"/>
      <c r="I11" s="277">
        <f>Calc1!C15</f>
        <v>0</v>
      </c>
      <c r="J11" s="277">
        <f>Calc1!D15</f>
        <v>843463.59</v>
      </c>
      <c r="K11" s="277">
        <f>Calc1!E15</f>
        <v>581561.29</v>
      </c>
      <c r="L11" s="277">
        <f>Calc1!F15</f>
        <v>480210.23</v>
      </c>
      <c r="M11" s="278">
        <f>Calc1!G15</f>
        <v>292368.73</v>
      </c>
      <c r="N11" s="55"/>
      <c r="O11" s="452"/>
      <c r="P11" s="49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</row>
    <row r="12" spans="3:34" ht="15.9" customHeight="1">
      <c r="C12" s="458"/>
      <c r="D12" s="54"/>
      <c r="E12" s="842" t="s">
        <v>14</v>
      </c>
      <c r="F12" s="842"/>
      <c r="G12" s="842"/>
      <c r="H12" s="279"/>
      <c r="I12" s="283">
        <f>Calc1!C16</f>
        <v>0</v>
      </c>
      <c r="J12" s="283">
        <f>Calc1!D16</f>
        <v>241085.05</v>
      </c>
      <c r="K12" s="283">
        <f>Calc1!E16</f>
        <v>180801.13</v>
      </c>
      <c r="L12" s="283">
        <f>Calc1!F16</f>
        <v>171516.07</v>
      </c>
      <c r="M12" s="284">
        <f>Calc1!G16</f>
        <v>117928.7</v>
      </c>
      <c r="N12" s="55"/>
      <c r="O12" s="452"/>
      <c r="P12" s="49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</row>
    <row r="13" spans="3:34" ht="15.9" customHeight="1">
      <c r="C13" s="458"/>
      <c r="D13" s="54"/>
      <c r="E13" s="834" t="s">
        <v>245</v>
      </c>
      <c r="F13" s="834"/>
      <c r="G13" s="834"/>
      <c r="H13" s="152"/>
      <c r="I13" s="282" t="str">
        <f>IF(I$8=0,"",I12/I$8)</f>
        <v/>
      </c>
      <c r="J13" s="282">
        <f>IF(J$8=0,"",J12/J$8)</f>
        <v>0.1809995124572287</v>
      </c>
      <c r="K13" s="282">
        <f>IF(K$8=0,"",K12/K$8)</f>
        <v>0.18590651899241722</v>
      </c>
      <c r="L13" s="282">
        <f>IF(L$8=0,"",L12/L$8)</f>
        <v>0.27387222718375076</v>
      </c>
      <c r="M13" s="282">
        <f>IF(M$8=0,"",M12/M$8)</f>
        <v>0.33358734301413928</v>
      </c>
      <c r="N13" s="55"/>
      <c r="O13" s="452"/>
      <c r="P13" s="49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</row>
    <row r="14" spans="3:34" ht="15.9" customHeight="1">
      <c r="C14" s="458"/>
      <c r="D14" s="54"/>
      <c r="E14" s="845" t="s">
        <v>15</v>
      </c>
      <c r="F14" s="845"/>
      <c r="G14" s="845"/>
      <c r="H14" s="152"/>
      <c r="I14" s="285">
        <f>Calc1!C17</f>
        <v>0</v>
      </c>
      <c r="J14" s="285">
        <f>Calc1!D17</f>
        <v>529680.41</v>
      </c>
      <c r="K14" s="285">
        <f>Calc1!E17</f>
        <v>319077.91000000003</v>
      </c>
      <c r="L14" s="285">
        <f>Calc1!F17</f>
        <v>237479.15</v>
      </c>
      <c r="M14" s="286">
        <f>Calc1!G17</f>
        <v>149693</v>
      </c>
      <c r="N14" s="55"/>
      <c r="O14" s="452"/>
      <c r="P14" s="49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</row>
    <row r="15" spans="3:34" ht="15.9" customHeight="1">
      <c r="C15" s="458"/>
      <c r="D15" s="54"/>
      <c r="E15" s="834" t="s">
        <v>245</v>
      </c>
      <c r="F15" s="834"/>
      <c r="G15" s="834"/>
      <c r="H15" s="152"/>
      <c r="I15" s="282" t="str">
        <f>IF(I$8=0,"",I14/I$8)</f>
        <v/>
      </c>
      <c r="J15" s="282">
        <f>IF(J$8=0,"",J14/J$8)</f>
        <v>0.39766835798464079</v>
      </c>
      <c r="K15" s="282">
        <f>IF(K$8=0,"",K14/K$8)</f>
        <v>0.32808790263354992</v>
      </c>
      <c r="L15" s="282">
        <f>IF(L$8=0,"",L14/L$8)</f>
        <v>0.37920029137913441</v>
      </c>
      <c r="M15" s="282">
        <f>IF(M$8=0,"",M14/M$8)</f>
        <v>0.4234396727668121</v>
      </c>
      <c r="N15" s="55"/>
      <c r="O15" s="452"/>
      <c r="P15" s="49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</row>
    <row r="16" spans="3:34" ht="15.9" customHeight="1">
      <c r="C16" s="458"/>
      <c r="D16" s="54"/>
      <c r="E16" s="845" t="s">
        <v>16</v>
      </c>
      <c r="F16" s="845"/>
      <c r="G16" s="845"/>
      <c r="H16" s="152"/>
      <c r="I16" s="285">
        <f>Calc1!C18</f>
        <v>0</v>
      </c>
      <c r="J16" s="285">
        <f>Calc1!D18</f>
        <v>72698.13</v>
      </c>
      <c r="K16" s="285">
        <f>Calc1!E18</f>
        <v>81682.25</v>
      </c>
      <c r="L16" s="285">
        <f>Calc1!F18</f>
        <v>71215.009999999995</v>
      </c>
      <c r="M16" s="286">
        <f>Calc1!G18</f>
        <v>24747.03</v>
      </c>
      <c r="N16" s="55"/>
      <c r="O16" s="452"/>
      <c r="P16" s="49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</row>
    <row r="17" spans="3:34" ht="15.9" customHeight="1">
      <c r="C17" s="458"/>
      <c r="D17" s="54"/>
      <c r="E17" s="834" t="s">
        <v>245</v>
      </c>
      <c r="F17" s="834"/>
      <c r="G17" s="834"/>
      <c r="H17" s="152"/>
      <c r="I17" s="282" t="str">
        <f>IF(I$8=0,"",I16/I$8)</f>
        <v/>
      </c>
      <c r="J17" s="282">
        <f>IF(J$8=0,"",J16/J$8)</f>
        <v>5.4579602038999239E-2</v>
      </c>
      <c r="K17" s="282">
        <f>IF(K$8=0,"",K16/K$8)</f>
        <v>8.3988760252595621E-2</v>
      </c>
      <c r="L17" s="282">
        <f>IF(L$8=0,"",L16/L$8)</f>
        <v>0.11371420414199719</v>
      </c>
      <c r="M17" s="282">
        <f>IF(M$8=0,"",M16/M$8)</f>
        <v>7.0002433548332132E-2</v>
      </c>
      <c r="N17" s="55"/>
      <c r="O17" s="452"/>
      <c r="P17" s="49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</row>
    <row r="18" spans="3:34" ht="8.25" customHeight="1">
      <c r="C18" s="458"/>
      <c r="D18" s="54"/>
      <c r="E18" s="287"/>
      <c r="F18" s="287"/>
      <c r="G18" s="287"/>
      <c r="H18" s="152"/>
      <c r="I18" s="288"/>
      <c r="J18" s="288"/>
      <c r="K18" s="288"/>
      <c r="L18" s="288"/>
      <c r="M18" s="288"/>
      <c r="N18" s="55"/>
      <c r="O18" s="452"/>
      <c r="P18" s="49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</row>
    <row r="19" spans="3:34" ht="20.399999999999999">
      <c r="C19" s="458"/>
      <c r="D19" s="54"/>
      <c r="E19" s="838" t="s">
        <v>519</v>
      </c>
      <c r="F19" s="838"/>
      <c r="G19" s="838"/>
      <c r="H19" s="603"/>
      <c r="I19" s="604">
        <f>I6</f>
        <v>2026</v>
      </c>
      <c r="J19" s="604">
        <f>J6</f>
        <v>2025</v>
      </c>
      <c r="K19" s="604">
        <f>K6</f>
        <v>2024</v>
      </c>
      <c r="L19" s="604">
        <f>L6</f>
        <v>2023</v>
      </c>
      <c r="M19" s="604">
        <f>M6</f>
        <v>2022</v>
      </c>
      <c r="N19" s="55"/>
      <c r="O19" s="452"/>
      <c r="P19" s="49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</row>
    <row r="20" spans="3:34" ht="4.5" customHeight="1">
      <c r="C20" s="458"/>
      <c r="D20" s="54"/>
      <c r="E20" s="289"/>
      <c r="F20" s="289"/>
      <c r="G20" s="289"/>
      <c r="H20" s="152"/>
      <c r="I20" s="290"/>
      <c r="J20" s="290"/>
      <c r="K20" s="290"/>
      <c r="L20" s="290"/>
      <c r="M20" s="290"/>
      <c r="N20" s="55"/>
      <c r="O20" s="452"/>
      <c r="P20" s="49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</row>
    <row r="21" spans="3:34" ht="20.399999999999999">
      <c r="C21" s="458"/>
      <c r="D21" s="54"/>
      <c r="E21" s="839" t="s">
        <v>229</v>
      </c>
      <c r="F21" s="839"/>
      <c r="G21" s="839"/>
      <c r="H21" s="276"/>
      <c r="I21" s="277">
        <f>Calc1!C46</f>
        <v>0</v>
      </c>
      <c r="J21" s="277">
        <f>Calc1!D46</f>
        <v>1331965.19</v>
      </c>
      <c r="K21" s="277">
        <f>Calc1!E46</f>
        <v>972537.86999999988</v>
      </c>
      <c r="L21" s="277">
        <f>Calc1!F46</f>
        <v>626281.1</v>
      </c>
      <c r="M21" s="278">
        <f>Calc1!G46</f>
        <v>353516.70999999996</v>
      </c>
      <c r="N21" s="55"/>
      <c r="O21" s="452"/>
      <c r="P21" s="49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</row>
    <row r="22" spans="3:34" ht="15.9" customHeight="1">
      <c r="C22" s="458"/>
      <c r="D22" s="54"/>
      <c r="E22" s="843" t="s">
        <v>18</v>
      </c>
      <c r="F22" s="843"/>
      <c r="G22" s="843"/>
      <c r="H22" s="291"/>
      <c r="I22" s="292">
        <f>Calc1!C26</f>
        <v>0</v>
      </c>
      <c r="J22" s="292">
        <f>Calc1!D26</f>
        <v>480121.58</v>
      </c>
      <c r="K22" s="292">
        <f>Calc1!E26</f>
        <v>312289.69</v>
      </c>
      <c r="L22" s="292">
        <f>Calc1!F26</f>
        <v>169493.1</v>
      </c>
      <c r="M22" s="293">
        <f>Calc1!G26</f>
        <v>113234.22</v>
      </c>
      <c r="N22" s="55"/>
      <c r="O22" s="452"/>
      <c r="P22" s="49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</row>
    <row r="23" spans="3:34" ht="15.9" customHeight="1">
      <c r="C23" s="458"/>
      <c r="D23" s="54"/>
      <c r="E23" s="834" t="s">
        <v>245</v>
      </c>
      <c r="F23" s="834"/>
      <c r="G23" s="834"/>
      <c r="H23" s="152"/>
      <c r="I23" s="282" t="str">
        <f>IF(I$21=0,"",I22/I$21)</f>
        <v/>
      </c>
      <c r="J23" s="282">
        <f>IF(J$21=0,"",J22/J$21)</f>
        <v>0.36046105679383411</v>
      </c>
      <c r="K23" s="282">
        <f>IF(K$21=0,"",K22/K$21)</f>
        <v>0.32110799962987563</v>
      </c>
      <c r="L23" s="282">
        <f>IF(L$21=0,"",L22/L$21)</f>
        <v>0.2706342247913916</v>
      </c>
      <c r="M23" s="282">
        <f>IF(M$21=0,"",M22/M$21)</f>
        <v>0.32030797073213318</v>
      </c>
      <c r="N23" s="55"/>
      <c r="O23" s="452"/>
      <c r="P23" s="49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</row>
    <row r="24" spans="3:34" ht="15.9" customHeight="1">
      <c r="C24" s="458"/>
      <c r="D24" s="54"/>
      <c r="E24" s="844" t="s">
        <v>222</v>
      </c>
      <c r="F24" s="844"/>
      <c r="G24" s="844"/>
      <c r="H24" s="152"/>
      <c r="I24" s="285">
        <f>Calc1!C23</f>
        <v>0</v>
      </c>
      <c r="J24" s="285">
        <f>Calc1!D23</f>
        <v>24000</v>
      </c>
      <c r="K24" s="285">
        <f>Calc1!E23</f>
        <v>24000</v>
      </c>
      <c r="L24" s="285">
        <f>Calc1!F23</f>
        <v>24000</v>
      </c>
      <c r="M24" s="286">
        <f>Calc1!G23</f>
        <v>24000</v>
      </c>
      <c r="N24" s="55"/>
      <c r="O24" s="452"/>
      <c r="P24" s="49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</row>
    <row r="25" spans="3:34" ht="15.9" customHeight="1">
      <c r="C25" s="458"/>
      <c r="D25" s="54"/>
      <c r="E25" s="834" t="s">
        <v>245</v>
      </c>
      <c r="F25" s="834"/>
      <c r="G25" s="834"/>
      <c r="H25" s="152"/>
      <c r="I25" s="282" t="str">
        <f>IF(I$21=0,"",I24/I$21)</f>
        <v/>
      </c>
      <c r="J25" s="282">
        <f>IF(J$21=0,"",J24/J$21)</f>
        <v>1.8018488906605734E-2</v>
      </c>
      <c r="K25" s="282">
        <f>IF(K$21=0,"",K24/K$21)</f>
        <v>2.4677702267779045E-2</v>
      </c>
      <c r="L25" s="282">
        <f>IF(L$21=0,"",L24/L$21)</f>
        <v>3.8321450224188466E-2</v>
      </c>
      <c r="M25" s="282">
        <f>IF(M$21=0,"",M24/M$21)</f>
        <v>6.7889294398558994E-2</v>
      </c>
      <c r="N25" s="55"/>
      <c r="O25" s="452"/>
      <c r="P25" s="49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</row>
    <row r="26" spans="3:34" ht="15.9" customHeight="1">
      <c r="C26" s="458"/>
      <c r="D26" s="54"/>
      <c r="E26" s="837" t="s">
        <v>520</v>
      </c>
      <c r="F26" s="837"/>
      <c r="G26" s="837"/>
      <c r="H26" s="294"/>
      <c r="I26" s="295">
        <f>Calc1!C33</f>
        <v>0</v>
      </c>
      <c r="J26" s="295">
        <f>Calc1!D33</f>
        <v>251229</v>
      </c>
      <c r="K26" s="295">
        <f>Calc1!E33</f>
        <v>268227.99</v>
      </c>
      <c r="L26" s="295">
        <f>Calc1!F33</f>
        <v>119104.82</v>
      </c>
      <c r="M26" s="296">
        <f>Calc1!G33</f>
        <v>46257.020000000004</v>
      </c>
      <c r="N26" s="55"/>
      <c r="O26" s="452"/>
      <c r="P26" s="49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</row>
    <row r="27" spans="3:34" ht="15.9" customHeight="1">
      <c r="C27" s="458"/>
      <c r="D27" s="54"/>
      <c r="E27" s="834" t="s">
        <v>245</v>
      </c>
      <c r="F27" s="834"/>
      <c r="G27" s="834"/>
      <c r="H27" s="152"/>
      <c r="I27" s="282" t="str">
        <f>IF(I$21=0,"",I26/I$21)</f>
        <v/>
      </c>
      <c r="J27" s="282">
        <f>IF(J$21=0,"",J26/J$21)</f>
        <v>0.18861528956323551</v>
      </c>
      <c r="K27" s="282">
        <f>IF(K$21=0,"",K26/K$21)</f>
        <v>0.2758021032127006</v>
      </c>
      <c r="L27" s="282">
        <f>IF(L$21=0,"",L26/L$21)</f>
        <v>0.19017789296212198</v>
      </c>
      <c r="M27" s="282">
        <f>IF(M$21=0,"",M26/M$21)</f>
        <v>0.13084818536583465</v>
      </c>
      <c r="N27" s="55"/>
      <c r="O27" s="452"/>
      <c r="P27" s="49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</row>
    <row r="28" spans="3:34" ht="15.9" customHeight="1">
      <c r="C28" s="458"/>
      <c r="D28" s="54"/>
      <c r="E28" s="837" t="s">
        <v>521</v>
      </c>
      <c r="F28" s="837"/>
      <c r="G28" s="837"/>
      <c r="H28" s="294"/>
      <c r="I28" s="295">
        <f>Calc1!C42</f>
        <v>0</v>
      </c>
      <c r="J28" s="295">
        <f>Calc1!D42</f>
        <v>600614.61</v>
      </c>
      <c r="K28" s="295">
        <f>Calc1!E42</f>
        <v>392020.19</v>
      </c>
      <c r="L28" s="295">
        <f>Calc1!F42</f>
        <v>337683.18</v>
      </c>
      <c r="M28" s="296">
        <f>Calc1!G42</f>
        <v>194025.47</v>
      </c>
      <c r="N28" s="55"/>
      <c r="O28" s="452"/>
      <c r="P28" s="49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</row>
    <row r="29" spans="3:34" ht="15.9" customHeight="1">
      <c r="C29" s="458"/>
      <c r="D29" s="54"/>
      <c r="E29" s="834" t="s">
        <v>245</v>
      </c>
      <c r="F29" s="834"/>
      <c r="G29" s="834"/>
      <c r="H29" s="152"/>
      <c r="I29" s="282" t="str">
        <f>IF(I$21=0,"",I28/I$21)</f>
        <v/>
      </c>
      <c r="J29" s="282">
        <f>IF(J$21=0,"",J28/J$21)</f>
        <v>0.45092365364293041</v>
      </c>
      <c r="K29" s="282">
        <f>IF(K$21=0,"",K28/K$21)</f>
        <v>0.40308989715742388</v>
      </c>
      <c r="L29" s="282">
        <f>IF(L$21=0,"",L28/L$21)</f>
        <v>0.53918788224648651</v>
      </c>
      <c r="M29" s="282">
        <f>IF(M$21=0,"",M28/M$21)</f>
        <v>0.54884384390203234</v>
      </c>
      <c r="N29" s="55"/>
      <c r="O29" s="452"/>
      <c r="P29" s="49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</row>
    <row r="30" spans="3:34" ht="8.1" customHeight="1">
      <c r="C30" s="458"/>
      <c r="D30" s="54"/>
      <c r="E30" s="287"/>
      <c r="F30" s="287"/>
      <c r="G30" s="287"/>
      <c r="H30" s="152"/>
      <c r="I30" s="275"/>
      <c r="J30" s="275"/>
      <c r="K30" s="275"/>
      <c r="L30" s="275"/>
      <c r="M30" s="274"/>
      <c r="N30" s="55"/>
      <c r="O30" s="452"/>
      <c r="P30" s="49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</row>
    <row r="31" spans="3:34" ht="8.1" customHeight="1">
      <c r="C31" s="458"/>
      <c r="D31" s="54"/>
      <c r="E31" s="287"/>
      <c r="F31" s="287"/>
      <c r="G31" s="287"/>
      <c r="H31" s="152"/>
      <c r="I31" s="275"/>
      <c r="J31" s="275"/>
      <c r="K31" s="275"/>
      <c r="L31" s="275"/>
      <c r="M31" s="274"/>
      <c r="N31" s="55"/>
      <c r="O31" s="452"/>
      <c r="P31" s="49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</row>
    <row r="32" spans="3:34" ht="20.399999999999999">
      <c r="C32" s="458"/>
      <c r="D32" s="54"/>
      <c r="E32" s="835" t="s">
        <v>223</v>
      </c>
      <c r="F32" s="836"/>
      <c r="G32" s="836"/>
      <c r="H32" s="543"/>
      <c r="I32" s="602"/>
      <c r="J32" s="605">
        <f>J6</f>
        <v>2025</v>
      </c>
      <c r="K32" s="605">
        <f>K6</f>
        <v>2024</v>
      </c>
      <c r="L32" s="605">
        <f>L6</f>
        <v>2023</v>
      </c>
      <c r="M32" s="606">
        <f>M6</f>
        <v>2022</v>
      </c>
      <c r="N32" s="55"/>
      <c r="O32" s="452"/>
      <c r="P32" s="49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</row>
    <row r="33" spans="3:34" ht="8.25" customHeight="1">
      <c r="C33" s="458"/>
      <c r="D33" s="54"/>
      <c r="E33" s="297"/>
      <c r="F33" s="298"/>
      <c r="G33" s="298"/>
      <c r="H33" s="279"/>
      <c r="I33" s="299"/>
      <c r="J33" s="299"/>
      <c r="K33" s="299"/>
      <c r="L33" s="299"/>
      <c r="M33" s="300"/>
      <c r="N33" s="55"/>
      <c r="O33" s="452"/>
      <c r="P33" s="49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</row>
    <row r="34" spans="3:34" ht="15.9" customHeight="1">
      <c r="C34" s="458"/>
      <c r="D34" s="54"/>
      <c r="E34" s="846" t="s">
        <v>11</v>
      </c>
      <c r="F34" s="847"/>
      <c r="G34" s="847"/>
      <c r="H34" s="152"/>
      <c r="I34" s="607"/>
      <c r="J34" s="607">
        <f>IF(J8=0,0,IF(I$8=0,0,(J8/I$8)-100%))</f>
        <v>0</v>
      </c>
      <c r="K34" s="607">
        <f>IF(K8=0,0,IF(J$8=0,0,(K8/J$8)-100%))</f>
        <v>-0.26984738242295958</v>
      </c>
      <c r="L34" s="607">
        <f>IF(L8=0,0,IF(K$8=0,0,(L8/K$8)-100%))</f>
        <v>-0.35605273653765279</v>
      </c>
      <c r="M34" s="608">
        <f>IF(M8=0,0,IF(L$8=0,0,(M8/L$8)-100%))</f>
        <v>-0.43551406749016508</v>
      </c>
      <c r="N34" s="55"/>
      <c r="O34" s="452"/>
      <c r="P34" s="49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</row>
    <row r="35" spans="3:34" ht="15.9" customHeight="1">
      <c r="C35" s="458"/>
      <c r="D35" s="54"/>
      <c r="E35" s="833" t="s">
        <v>224</v>
      </c>
      <c r="F35" s="834"/>
      <c r="G35" s="834"/>
      <c r="H35" s="152"/>
      <c r="I35" s="301"/>
      <c r="J35" s="301">
        <f>IF(J9=0,0,IF(I9=0,0,(J9/I9)-100%))</f>
        <v>0</v>
      </c>
      <c r="K35" s="301">
        <f>IF(K9=0,0,IF(J9=0,0,(K9/J9)-100%))</f>
        <v>-0.19964114754178919</v>
      </c>
      <c r="L35" s="301">
        <f>IF(L9=0,0,IF(K9=0,0,(L9/K9)-100%))</f>
        <v>-0.62644087274997395</v>
      </c>
      <c r="M35" s="302">
        <f>IF(M9=0,0,IF(L9=0,0,(M9/L9)-100%))</f>
        <v>-0.58132982939671085</v>
      </c>
      <c r="N35" s="55"/>
      <c r="O35" s="452"/>
      <c r="P35" s="49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</row>
    <row r="36" spans="3:34" ht="15.9" customHeight="1">
      <c r="C36" s="458"/>
      <c r="D36" s="54"/>
      <c r="E36" s="833" t="s">
        <v>225</v>
      </c>
      <c r="F36" s="834"/>
      <c r="G36" s="834"/>
      <c r="H36" s="152"/>
      <c r="I36" s="301"/>
      <c r="J36" s="301">
        <f>IF(J11=0,0,IF(I11=0,0,(J11/I11)-100%))</f>
        <v>0</v>
      </c>
      <c r="K36" s="301">
        <f>IF(K11=0,0,IF(J11=0,0,(K11/J11)-100%))</f>
        <v>-0.31050812756481871</v>
      </c>
      <c r="L36" s="301">
        <f>IF(L11=0,0,IF(K11=0,0,(L11/K11)-100%))</f>
        <v>-0.17427408210061579</v>
      </c>
      <c r="M36" s="302">
        <f>IF(M11=0,0,IF(L11=0,0,(M11/L11)-100%))</f>
        <v>-0.39116513615297199</v>
      </c>
      <c r="N36" s="55"/>
      <c r="O36" s="452"/>
      <c r="P36" s="49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</row>
    <row r="37" spans="3:34" ht="15.9" customHeight="1">
      <c r="C37" s="458"/>
      <c r="D37" s="54"/>
      <c r="E37" s="846" t="s">
        <v>230</v>
      </c>
      <c r="F37" s="847"/>
      <c r="G37" s="847"/>
      <c r="H37" s="152"/>
      <c r="I37" s="607"/>
      <c r="J37" s="607">
        <f t="shared" ref="J37:M38" si="0">IF(J21=0,0,IF(I21=0,0,(J21/I21)-100%))</f>
        <v>0</v>
      </c>
      <c r="K37" s="607">
        <f t="shared" si="0"/>
        <v>-0.26984738242295958</v>
      </c>
      <c r="L37" s="607">
        <f t="shared" si="0"/>
        <v>-0.35603422826095188</v>
      </c>
      <c r="M37" s="608">
        <f t="shared" si="0"/>
        <v>-0.43553029142983879</v>
      </c>
      <c r="N37" s="55"/>
      <c r="O37" s="452"/>
      <c r="P37" s="49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</row>
    <row r="38" spans="3:34" ht="15.9" customHeight="1">
      <c r="C38" s="458"/>
      <c r="D38" s="54"/>
      <c r="E38" s="833" t="s">
        <v>226</v>
      </c>
      <c r="F38" s="834"/>
      <c r="G38" s="834"/>
      <c r="H38" s="152"/>
      <c r="I38" s="301"/>
      <c r="J38" s="301">
        <f t="shared" si="0"/>
        <v>0</v>
      </c>
      <c r="K38" s="301">
        <f t="shared" si="0"/>
        <v>-0.34956122988681326</v>
      </c>
      <c r="L38" s="301">
        <f t="shared" si="0"/>
        <v>-0.45725681818058095</v>
      </c>
      <c r="M38" s="302">
        <f t="shared" si="0"/>
        <v>-0.33192430842317477</v>
      </c>
      <c r="N38" s="55"/>
      <c r="O38" s="452"/>
      <c r="P38" s="49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</row>
    <row r="39" spans="3:34" ht="15.9" customHeight="1">
      <c r="C39" s="458"/>
      <c r="D39" s="54"/>
      <c r="E39" s="833" t="s">
        <v>227</v>
      </c>
      <c r="F39" s="834"/>
      <c r="G39" s="834"/>
      <c r="H39" s="152"/>
      <c r="I39" s="301"/>
      <c r="J39" s="301">
        <f>IF(J26=0,0,IF(I26=0,0,(J26/I26)-100%))</f>
        <v>0</v>
      </c>
      <c r="K39" s="301">
        <f>IF(K26=0,0,IF(J26=0,0,(K26/J26)-100%))</f>
        <v>6.7663327084054758E-2</v>
      </c>
      <c r="L39" s="301">
        <f>IF(L26=0,0,IF(K26=0,0,(L26/K26)-100%))</f>
        <v>-0.55595678139332139</v>
      </c>
      <c r="M39" s="302">
        <f>IF(M26=0,0,IF(L26=0,0,(M26/L26)-100%))</f>
        <v>-0.61162764025838756</v>
      </c>
      <c r="N39" s="55"/>
      <c r="O39" s="452"/>
      <c r="P39" s="49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</row>
    <row r="40" spans="3:34" ht="15.9" customHeight="1">
      <c r="C40" s="458"/>
      <c r="D40" s="54"/>
      <c r="E40" s="833" t="s">
        <v>228</v>
      </c>
      <c r="F40" s="834"/>
      <c r="G40" s="834"/>
      <c r="H40" s="152"/>
      <c r="I40" s="301"/>
      <c r="J40" s="301">
        <f>IF(J28=0,0,IF(I28=0,0,(J28/I28)-100%))</f>
        <v>0</v>
      </c>
      <c r="K40" s="301">
        <f>IF(K28=0,0,IF(J28=0,0,(K28/J28)-100%))</f>
        <v>-0.34730160826424117</v>
      </c>
      <c r="L40" s="301">
        <f>IF(L28=0,0,IF(K28=0,0,(L28/K28)-100%))</f>
        <v>-0.13860768242574451</v>
      </c>
      <c r="M40" s="302">
        <f>IF(M28=0,0,IF(L28=0,0,(M28/L28)-100%))</f>
        <v>-0.42542157415125026</v>
      </c>
      <c r="N40" s="55"/>
      <c r="O40" s="452"/>
      <c r="P40" s="49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</row>
    <row r="41" spans="3:34" ht="8.1" customHeight="1">
      <c r="C41" s="458"/>
      <c r="D41" s="54"/>
      <c r="E41" s="303"/>
      <c r="F41" s="304"/>
      <c r="G41" s="304"/>
      <c r="H41" s="276"/>
      <c r="I41" s="305"/>
      <c r="J41" s="305"/>
      <c r="K41" s="305"/>
      <c r="L41" s="305"/>
      <c r="M41" s="306"/>
      <c r="N41" s="55"/>
      <c r="O41" s="452"/>
      <c r="P41" s="49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</row>
    <row r="42" spans="3:34" ht="16.2">
      <c r="C42" s="458"/>
      <c r="D42" s="54"/>
      <c r="E42" s="56"/>
      <c r="F42" s="58"/>
      <c r="G42" s="58"/>
      <c r="H42" s="58"/>
      <c r="I42" s="58"/>
      <c r="J42" s="58"/>
      <c r="K42" s="58"/>
      <c r="L42" s="56"/>
      <c r="M42" s="56"/>
      <c r="N42" s="55"/>
      <c r="O42" s="452"/>
      <c r="P42" s="49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</row>
    <row r="43" spans="3:34" ht="16.2">
      <c r="C43" s="458"/>
      <c r="D43" s="51"/>
      <c r="E43" s="52"/>
      <c r="F43" s="57"/>
      <c r="G43" s="57"/>
      <c r="H43" s="57"/>
      <c r="I43" s="57"/>
      <c r="J43" s="57"/>
      <c r="K43" s="57"/>
      <c r="L43" s="52"/>
      <c r="M43" s="52"/>
      <c r="N43" s="53"/>
      <c r="O43" s="452"/>
      <c r="P43" s="49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</row>
    <row r="44" spans="3:34" ht="16.2">
      <c r="C44" s="458"/>
      <c r="D44" s="54"/>
      <c r="E44" s="56"/>
      <c r="F44" s="58"/>
      <c r="G44" s="58"/>
      <c r="H44" s="58"/>
      <c r="I44" s="58"/>
      <c r="J44" s="58"/>
      <c r="K44" s="58"/>
      <c r="L44" s="56"/>
      <c r="M44" s="56"/>
      <c r="N44" s="55"/>
      <c r="O44" s="452"/>
      <c r="P44" s="49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</row>
    <row r="45" spans="3:34" ht="16.2">
      <c r="C45" s="458"/>
      <c r="D45" s="54"/>
      <c r="E45" s="56"/>
      <c r="F45" s="58"/>
      <c r="G45" s="58"/>
      <c r="H45" s="58"/>
      <c r="I45" s="58"/>
      <c r="J45" s="58"/>
      <c r="K45" s="58"/>
      <c r="L45" s="56"/>
      <c r="M45" s="56"/>
      <c r="N45" s="55"/>
      <c r="O45" s="452"/>
      <c r="P45" s="49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</row>
    <row r="46" spans="3:34" ht="16.2">
      <c r="C46" s="458"/>
      <c r="D46" s="54"/>
      <c r="E46" s="56"/>
      <c r="F46" s="58"/>
      <c r="G46" s="58"/>
      <c r="H46" s="58"/>
      <c r="I46" s="58"/>
      <c r="J46" s="58"/>
      <c r="K46" s="58"/>
      <c r="L46" s="56"/>
      <c r="M46" s="56"/>
      <c r="N46" s="55"/>
      <c r="O46" s="452"/>
      <c r="P46" s="49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</row>
    <row r="47" spans="3:34" ht="16.2">
      <c r="C47" s="458"/>
      <c r="D47" s="54"/>
      <c r="E47" s="56"/>
      <c r="F47" s="58"/>
      <c r="G47" s="58"/>
      <c r="H47" s="58"/>
      <c r="I47" s="58"/>
      <c r="J47" s="58"/>
      <c r="K47" s="58"/>
      <c r="L47" s="56"/>
      <c r="M47" s="56"/>
      <c r="N47" s="55"/>
      <c r="O47" s="452"/>
      <c r="P47" s="49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</row>
    <row r="48" spans="3:34" ht="16.2">
      <c r="C48" s="458"/>
      <c r="D48" s="54"/>
      <c r="E48" s="56"/>
      <c r="F48" s="58"/>
      <c r="G48" s="58"/>
      <c r="H48" s="58"/>
      <c r="I48" s="58"/>
      <c r="J48" s="58"/>
      <c r="K48" s="58"/>
      <c r="L48" s="56"/>
      <c r="M48" s="56"/>
      <c r="N48" s="55"/>
      <c r="O48" s="452"/>
      <c r="P48" s="49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</row>
    <row r="49" spans="3:34" ht="16.2">
      <c r="C49" s="458"/>
      <c r="D49" s="54"/>
      <c r="E49" s="56"/>
      <c r="F49" s="58"/>
      <c r="G49" s="58"/>
      <c r="H49" s="58"/>
      <c r="I49" s="58"/>
      <c r="J49" s="58"/>
      <c r="K49" s="58"/>
      <c r="L49" s="56"/>
      <c r="M49" s="56"/>
      <c r="N49" s="55"/>
      <c r="O49" s="452"/>
      <c r="P49" s="49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</row>
    <row r="50" spans="3:34" ht="16.2">
      <c r="C50" s="458"/>
      <c r="D50" s="54"/>
      <c r="E50" s="56"/>
      <c r="F50" s="58"/>
      <c r="G50" s="58"/>
      <c r="H50" s="58"/>
      <c r="I50" s="58"/>
      <c r="J50" s="58"/>
      <c r="K50" s="58"/>
      <c r="L50" s="56"/>
      <c r="M50" s="56"/>
      <c r="N50" s="55"/>
      <c r="O50" s="452"/>
      <c r="P50" s="49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</row>
    <row r="51" spans="3:34" ht="16.2">
      <c r="C51" s="458"/>
      <c r="D51" s="54"/>
      <c r="E51" s="56"/>
      <c r="F51" s="58"/>
      <c r="G51" s="58"/>
      <c r="H51" s="58"/>
      <c r="I51" s="58"/>
      <c r="J51" s="58"/>
      <c r="K51" s="58"/>
      <c r="L51" s="56"/>
      <c r="M51" s="56"/>
      <c r="N51" s="55"/>
      <c r="O51" s="452"/>
      <c r="P51" s="49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</row>
    <row r="52" spans="3:34" ht="16.2">
      <c r="C52" s="458"/>
      <c r="D52" s="54"/>
      <c r="E52" s="56"/>
      <c r="F52" s="58"/>
      <c r="G52" s="58"/>
      <c r="H52" s="58"/>
      <c r="I52" s="58"/>
      <c r="J52" s="58"/>
      <c r="K52" s="58"/>
      <c r="L52" s="56"/>
      <c r="M52" s="56"/>
      <c r="N52" s="55"/>
      <c r="O52" s="452"/>
      <c r="P52" s="49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</row>
    <row r="53" spans="3:34" ht="16.2">
      <c r="C53" s="458"/>
      <c r="D53" s="54"/>
      <c r="E53" s="56"/>
      <c r="F53" s="58"/>
      <c r="G53" s="58"/>
      <c r="H53" s="58"/>
      <c r="I53" s="58"/>
      <c r="J53" s="58"/>
      <c r="K53" s="58"/>
      <c r="L53" s="56"/>
      <c r="M53" s="56"/>
      <c r="N53" s="55"/>
      <c r="O53" s="452"/>
      <c r="P53" s="49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</row>
    <row r="54" spans="3:34" ht="16.2">
      <c r="C54" s="458"/>
      <c r="D54" s="54"/>
      <c r="E54" s="56"/>
      <c r="F54" s="58"/>
      <c r="G54" s="58"/>
      <c r="H54" s="58"/>
      <c r="I54" s="58"/>
      <c r="J54" s="58"/>
      <c r="K54" s="58"/>
      <c r="L54" s="56"/>
      <c r="M54" s="56"/>
      <c r="N54" s="55"/>
      <c r="O54" s="452"/>
      <c r="P54" s="49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</row>
    <row r="55" spans="3:34" ht="16.2">
      <c r="C55" s="458"/>
      <c r="D55" s="54"/>
      <c r="E55" s="56"/>
      <c r="F55" s="58"/>
      <c r="G55" s="58"/>
      <c r="H55" s="58"/>
      <c r="I55" s="58"/>
      <c r="J55" s="58"/>
      <c r="K55" s="58"/>
      <c r="L55" s="56"/>
      <c r="M55" s="56"/>
      <c r="N55" s="55"/>
      <c r="O55" s="452"/>
      <c r="P55" s="49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</row>
    <row r="56" spans="3:34" ht="16.2">
      <c r="C56" s="458"/>
      <c r="D56" s="54"/>
      <c r="E56" s="56"/>
      <c r="F56" s="58"/>
      <c r="G56" s="58"/>
      <c r="H56" s="58"/>
      <c r="I56" s="58"/>
      <c r="J56" s="58"/>
      <c r="K56" s="58"/>
      <c r="L56" s="56"/>
      <c r="M56" s="56"/>
      <c r="N56" s="55"/>
      <c r="O56" s="452"/>
      <c r="P56" s="49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</row>
    <row r="57" spans="3:34" ht="16.2">
      <c r="C57" s="458"/>
      <c r="D57" s="60"/>
      <c r="E57" s="61"/>
      <c r="F57" s="61"/>
      <c r="G57" s="61"/>
      <c r="H57" s="61"/>
      <c r="I57" s="61"/>
      <c r="J57" s="61"/>
      <c r="K57" s="61"/>
      <c r="L57" s="61"/>
      <c r="M57" s="61"/>
      <c r="N57" s="59"/>
      <c r="O57" s="452"/>
      <c r="P57" s="49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</row>
    <row r="58" spans="3:34" ht="24.75" customHeight="1">
      <c r="C58" s="459"/>
      <c r="D58" s="460"/>
      <c r="E58" s="454"/>
      <c r="F58" s="454"/>
      <c r="G58" s="454"/>
      <c r="H58" s="454"/>
      <c r="I58" s="454"/>
      <c r="J58" s="454"/>
      <c r="K58" s="454"/>
      <c r="L58" s="454"/>
      <c r="M58" s="454"/>
      <c r="N58" s="454"/>
      <c r="O58" s="453"/>
      <c r="P58" s="50"/>
    </row>
    <row r="59" spans="3:34"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</row>
    <row r="60" spans="3:34"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</row>
    <row r="61" spans="3:34"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</row>
    <row r="62" spans="3:34"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</row>
    <row r="186" spans="3:3">
      <c r="C186" s="41"/>
    </row>
    <row r="187" spans="3:3">
      <c r="C187" s="41"/>
    </row>
    <row r="188" spans="3:3">
      <c r="C188" s="41"/>
    </row>
    <row r="189" spans="3:3">
      <c r="C189" s="41"/>
    </row>
    <row r="190" spans="3:3">
      <c r="C190" s="41"/>
    </row>
    <row r="191" spans="3:3">
      <c r="C191" s="41"/>
    </row>
    <row r="192" spans="3:3">
      <c r="C192" s="41"/>
    </row>
    <row r="193" spans="3:33"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</row>
    <row r="194" spans="3:33">
      <c r="C194" s="41"/>
      <c r="D194" s="41"/>
      <c r="E194" s="307"/>
      <c r="F194" s="307"/>
      <c r="G194" s="307"/>
      <c r="H194" s="307"/>
      <c r="I194" s="307"/>
      <c r="J194" s="307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</row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</sheetData>
  <sheetProtection sheet="1" objects="1" scenarios="1"/>
  <mergeCells count="32">
    <mergeCell ref="E10:G10"/>
    <mergeCell ref="H4:L4"/>
    <mergeCell ref="E25:G25"/>
    <mergeCell ref="E37:G37"/>
    <mergeCell ref="E13:G13"/>
    <mergeCell ref="E15:G15"/>
    <mergeCell ref="E17:G17"/>
    <mergeCell ref="E19:G19"/>
    <mergeCell ref="E16:G16"/>
    <mergeCell ref="E23:G23"/>
    <mergeCell ref="E28:G28"/>
    <mergeCell ref="E38:G38"/>
    <mergeCell ref="E39:G39"/>
    <mergeCell ref="E40:G40"/>
    <mergeCell ref="E34:G34"/>
    <mergeCell ref="E35:G35"/>
    <mergeCell ref="D2:J2"/>
    <mergeCell ref="E36:G36"/>
    <mergeCell ref="E29:G29"/>
    <mergeCell ref="E32:G32"/>
    <mergeCell ref="E26:G26"/>
    <mergeCell ref="E27:G27"/>
    <mergeCell ref="E6:G6"/>
    <mergeCell ref="E8:G8"/>
    <mergeCell ref="E4:G4"/>
    <mergeCell ref="E9:G9"/>
    <mergeCell ref="E11:G11"/>
    <mergeCell ref="E22:G22"/>
    <mergeCell ref="E24:G24"/>
    <mergeCell ref="E12:G12"/>
    <mergeCell ref="E14:G14"/>
    <mergeCell ref="E21:G21"/>
  </mergeCells>
  <phoneticPr fontId="3" type="noConversion"/>
  <printOptions horizontalCentered="1" verticalCentered="1"/>
  <pageMargins left="0" right="0" top="0" bottom="0" header="0" footer="0"/>
  <pageSetup paperSize="9" scale="74" orientation="landscape" horizontalDpi="4294967292" r:id="rId1"/>
  <headerFooter alignWithMargins="0"/>
  <ignoredErrors>
    <ignoredError sqref="I14 I16 J14:M23 K24:M29 J24:J29 I24:I29" 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499984740745262"/>
    <pageSetUpPr autoPageBreaks="0"/>
  </sheetPr>
  <dimension ref="C1:AI271"/>
  <sheetViews>
    <sheetView showGridLines="0" showRowColHeaders="0" showOutlineSymbols="0" zoomScale="75" zoomScaleNormal="75" workbookViewId="0">
      <pane xSplit="7" ySplit="2" topLeftCell="H3" activePane="bottomRight" state="frozen"/>
      <selection activeCell="K18" sqref="K18:L19"/>
      <selection pane="topRight" activeCell="K18" sqref="K18:L19"/>
      <selection pane="bottomLeft" activeCell="K18" sqref="K18:L19"/>
      <selection pane="bottomRight" activeCell="R87" sqref="R87"/>
    </sheetView>
  </sheetViews>
  <sheetFormatPr baseColWidth="10" defaultRowHeight="13.2"/>
  <cols>
    <col min="1" max="1" width="0" hidden="1" customWidth="1"/>
    <col min="2" max="2" width="4.6640625" customWidth="1"/>
    <col min="3" max="3" width="5.6640625" customWidth="1"/>
    <col min="4" max="4" width="3.6640625" customWidth="1"/>
    <col min="5" max="5" width="11.109375" customWidth="1"/>
    <col min="6" max="7" width="12.109375" customWidth="1"/>
    <col min="8" max="8" width="7.6640625" customWidth="1"/>
    <col min="9" max="13" width="18.6640625" customWidth="1"/>
    <col min="14" max="14" width="3.6640625" customWidth="1"/>
    <col min="15" max="15" width="5.6640625" customWidth="1"/>
    <col min="16" max="35" width="15.6640625" customWidth="1"/>
    <col min="36" max="65" width="11.44140625"/>
  </cols>
  <sheetData>
    <row r="1" spans="3:35" ht="12.75" customHeight="1" thickBot="1"/>
    <row r="2" spans="3:35" ht="33" customHeight="1" thickTop="1" thickBot="1">
      <c r="C2" s="461"/>
      <c r="D2" s="852" t="s">
        <v>259</v>
      </c>
      <c r="E2" s="852"/>
      <c r="F2" s="852"/>
      <c r="G2" s="852"/>
      <c r="H2" s="852"/>
      <c r="I2" s="852"/>
      <c r="J2" s="852"/>
      <c r="K2" s="609" t="s">
        <v>406</v>
      </c>
      <c r="L2" s="350"/>
      <c r="M2" s="350"/>
      <c r="N2" s="350"/>
      <c r="O2" s="351"/>
    </row>
    <row r="3" spans="3:35" ht="14.4" thickTop="1">
      <c r="C3" s="455"/>
      <c r="D3" s="54"/>
      <c r="E3" s="56"/>
      <c r="F3" s="56"/>
      <c r="G3" s="56"/>
      <c r="H3" s="56"/>
      <c r="I3" s="56"/>
      <c r="J3" s="56"/>
      <c r="K3" s="56"/>
      <c r="L3" s="56"/>
      <c r="M3" s="56"/>
      <c r="N3" s="55"/>
      <c r="O3" s="462"/>
    </row>
    <row r="4" spans="3:35" ht="29.4">
      <c r="C4" s="455"/>
      <c r="D4" s="54"/>
      <c r="E4" s="840" t="str">
        <f>INICIO!$F$5</f>
        <v>MiEmpresa</v>
      </c>
      <c r="F4" s="841"/>
      <c r="G4" s="841"/>
      <c r="H4" s="610"/>
      <c r="I4" s="853" t="s">
        <v>162</v>
      </c>
      <c r="J4" s="853"/>
      <c r="K4" s="853"/>
      <c r="L4" s="853"/>
      <c r="M4" s="853"/>
      <c r="N4" s="55"/>
      <c r="O4" s="462"/>
    </row>
    <row r="5" spans="3:35" ht="16.8">
      <c r="C5" s="455"/>
      <c r="D5" s="54"/>
      <c r="E5" s="274"/>
      <c r="F5" s="274"/>
      <c r="G5" s="274"/>
      <c r="H5" s="274"/>
      <c r="I5" s="274"/>
      <c r="J5" s="274"/>
      <c r="K5" s="274"/>
      <c r="L5" s="274"/>
      <c r="M5" s="274"/>
      <c r="N5" s="55"/>
      <c r="O5" s="462"/>
    </row>
    <row r="6" spans="3:35" ht="20.399999999999999">
      <c r="C6" s="456"/>
      <c r="D6" s="54"/>
      <c r="E6" s="850" t="str">
        <f>'20Ratios'!$D$27</f>
        <v>GARANTÍA y estabilidad</v>
      </c>
      <c r="F6" s="850"/>
      <c r="G6" s="850"/>
      <c r="H6" s="611"/>
      <c r="I6" s="612">
        <f>'R1'!I6</f>
        <v>2026</v>
      </c>
      <c r="J6" s="612">
        <f>'R1'!J6</f>
        <v>2025</v>
      </c>
      <c r="K6" s="612">
        <f>'R1'!K6</f>
        <v>2024</v>
      </c>
      <c r="L6" s="612">
        <f>'R1'!L6</f>
        <v>2023</v>
      </c>
      <c r="M6" s="612">
        <f>'R1'!M6</f>
        <v>2022</v>
      </c>
      <c r="N6" s="55"/>
      <c r="O6" s="463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</row>
    <row r="7" spans="3:35" ht="6" customHeight="1">
      <c r="C7" s="457"/>
      <c r="D7" s="54"/>
      <c r="E7" s="308"/>
      <c r="F7" s="309"/>
      <c r="G7" s="309"/>
      <c r="H7" s="309"/>
      <c r="I7" s="309"/>
      <c r="J7" s="309"/>
      <c r="K7" s="309"/>
      <c r="L7" s="309"/>
      <c r="M7" s="308"/>
      <c r="N7" s="55"/>
      <c r="O7" s="464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</row>
    <row r="8" spans="3:35" ht="19.2">
      <c r="C8" s="458"/>
      <c r="D8" s="54"/>
      <c r="E8" s="834" t="str">
        <f>'20Ratios'!D28</f>
        <v>Garantía</v>
      </c>
      <c r="F8" s="834"/>
      <c r="G8" s="834"/>
      <c r="H8" s="310"/>
      <c r="I8" s="311">
        <f>'20Ratios'!E28</f>
        <v>0</v>
      </c>
      <c r="J8" s="311">
        <f>'20Ratios'!F28</f>
        <v>0.57346394838836678</v>
      </c>
      <c r="K8" s="311">
        <f>'20Ratios'!G28</f>
        <v>0.59216608518330183</v>
      </c>
      <c r="L8" s="311">
        <f>'20Ratios'!H28</f>
        <v>0.31973885040762889</v>
      </c>
      <c r="M8" s="312">
        <f>'20Ratios'!I28</f>
        <v>0.25448371206740866</v>
      </c>
      <c r="N8" s="55"/>
      <c r="O8" s="464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</row>
    <row r="9" spans="3:35" ht="19.2">
      <c r="C9" s="458"/>
      <c r="D9" s="54"/>
      <c r="E9" s="834" t="str">
        <f>'20Ratios'!D29</f>
        <v>Consistencia</v>
      </c>
      <c r="F9" s="834"/>
      <c r="G9" s="834"/>
      <c r="H9" s="310"/>
      <c r="I9" s="311">
        <f>'20Ratios'!E29</f>
        <v>0</v>
      </c>
      <c r="J9" s="311">
        <f>'20Ratios'!F29</f>
        <v>1.9444474961091276</v>
      </c>
      <c r="K9" s="311">
        <f>'20Ratios'!G29</f>
        <v>1.4576278187820741</v>
      </c>
      <c r="L9" s="311">
        <f>'20Ratios'!H29</f>
        <v>1.2262549072321338</v>
      </c>
      <c r="M9" s="312">
        <f>'20Ratios'!I29</f>
        <v>1.3219178407947594</v>
      </c>
      <c r="N9" s="55"/>
      <c r="O9" s="464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</row>
    <row r="10" spans="3:35" ht="19.2">
      <c r="C10" s="458"/>
      <c r="D10" s="54"/>
      <c r="E10" s="834" t="str">
        <f>'20Ratios'!D30</f>
        <v>Estabilidad</v>
      </c>
      <c r="F10" s="834"/>
      <c r="G10" s="834"/>
      <c r="H10" s="310"/>
      <c r="I10" s="311">
        <f>'20Ratios'!E30</f>
        <v>0</v>
      </c>
      <c r="J10" s="311">
        <f>'20Ratios'!F30</f>
        <v>0.66794450344183764</v>
      </c>
      <c r="K10" s="311">
        <f>'20Ratios'!G30</f>
        <v>0.67349642133207721</v>
      </c>
      <c r="L10" s="311">
        <f>'20Ratios'!H30</f>
        <v>0.50607734802801063</v>
      </c>
      <c r="M10" s="312">
        <f>'20Ratios'!I30</f>
        <v>0.3833939719824111</v>
      </c>
      <c r="N10" s="55"/>
      <c r="O10" s="464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</row>
    <row r="11" spans="3:35" ht="6" customHeight="1">
      <c r="C11" s="458"/>
      <c r="D11" s="54"/>
      <c r="E11" s="310"/>
      <c r="F11" s="310"/>
      <c r="G11" s="310"/>
      <c r="H11" s="310"/>
      <c r="I11" s="313"/>
      <c r="J11" s="313"/>
      <c r="K11" s="313"/>
      <c r="L11" s="313"/>
      <c r="M11" s="314"/>
      <c r="N11" s="55"/>
      <c r="O11" s="464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</row>
    <row r="12" spans="3:35" ht="6" customHeight="1">
      <c r="C12" s="458"/>
      <c r="D12" s="54"/>
      <c r="E12" s="849"/>
      <c r="F12" s="849"/>
      <c r="G12" s="849"/>
      <c r="H12" s="310"/>
      <c r="I12" s="315"/>
      <c r="J12" s="315"/>
      <c r="K12" s="315"/>
      <c r="L12" s="315"/>
      <c r="M12" s="316"/>
      <c r="N12" s="55"/>
      <c r="O12" s="464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</row>
    <row r="13" spans="3:35" ht="20.399999999999999">
      <c r="C13" s="458"/>
      <c r="D13" s="54"/>
      <c r="E13" s="850" t="s">
        <v>50</v>
      </c>
      <c r="F13" s="850"/>
      <c r="G13" s="850"/>
      <c r="H13" s="611"/>
      <c r="I13" s="612">
        <f>I6</f>
        <v>2026</v>
      </c>
      <c r="J13" s="612">
        <f>J6</f>
        <v>2025</v>
      </c>
      <c r="K13" s="612">
        <f>K6</f>
        <v>2024</v>
      </c>
      <c r="L13" s="612">
        <f>L6</f>
        <v>2023</v>
      </c>
      <c r="M13" s="612">
        <f>M6</f>
        <v>2022</v>
      </c>
      <c r="N13" s="55"/>
      <c r="O13" s="464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</row>
    <row r="14" spans="3:35" ht="6" customHeight="1">
      <c r="C14" s="458"/>
      <c r="D14" s="54"/>
      <c r="E14" s="298"/>
      <c r="F14" s="298"/>
      <c r="G14" s="298"/>
      <c r="H14" s="298"/>
      <c r="I14" s="299"/>
      <c r="J14" s="299"/>
      <c r="K14" s="299"/>
      <c r="L14" s="299"/>
      <c r="M14" s="299"/>
      <c r="N14" s="55"/>
      <c r="O14" s="464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</row>
    <row r="15" spans="3:35" ht="19.2">
      <c r="C15" s="458"/>
      <c r="D15" s="54"/>
      <c r="E15" s="834" t="str">
        <f>'20Ratios'!D18</f>
        <v>Liquidez</v>
      </c>
      <c r="F15" s="834"/>
      <c r="G15" s="834"/>
      <c r="H15" s="310"/>
      <c r="I15" s="311">
        <f>'20Ratios'!E18</f>
        <v>0</v>
      </c>
      <c r="J15" s="311">
        <f>'20Ratios'!F18</f>
        <v>1.4043341203438258</v>
      </c>
      <c r="K15" s="311">
        <f>'20Ratios'!G18</f>
        <v>1.483498311655836</v>
      </c>
      <c r="L15" s="311">
        <f>'20Ratios'!H18</f>
        <v>1.4220732877485931</v>
      </c>
      <c r="M15" s="311">
        <f>'20Ratios'!I18</f>
        <v>1.5068574759798288</v>
      </c>
      <c r="N15" s="55"/>
      <c r="O15" s="464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</row>
    <row r="16" spans="3:35" ht="19.2">
      <c r="C16" s="458"/>
      <c r="D16" s="54"/>
      <c r="E16" s="834" t="str">
        <f>'20Ratios'!D19</f>
        <v>Tesorería (Acid Test)</v>
      </c>
      <c r="F16" s="834"/>
      <c r="G16" s="834"/>
      <c r="H16" s="310"/>
      <c r="I16" s="311">
        <f>'20Ratios'!E19</f>
        <v>0</v>
      </c>
      <c r="J16" s="311">
        <f>'20Ratios'!F19</f>
        <v>1.002936874945483</v>
      </c>
      <c r="K16" s="311">
        <f>'20Ratios'!G19</f>
        <v>1.0222946935462687</v>
      </c>
      <c r="L16" s="311">
        <f>'20Ratios'!H19</f>
        <v>0.91415320123436405</v>
      </c>
      <c r="M16" s="311">
        <f>'20Ratios'!I19</f>
        <v>0.89905737633311744</v>
      </c>
      <c r="N16" s="55"/>
      <c r="O16" s="464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</row>
    <row r="17" spans="3:35" ht="19.2">
      <c r="C17" s="458"/>
      <c r="D17" s="54"/>
      <c r="E17" s="834" t="str">
        <f>'20Ratios'!D20</f>
        <v>Disponibilidad</v>
      </c>
      <c r="F17" s="834"/>
      <c r="G17" s="834"/>
      <c r="H17" s="310"/>
      <c r="I17" s="311">
        <f>'20Ratios'!E20</f>
        <v>0</v>
      </c>
      <c r="J17" s="311">
        <f>'20Ratios'!F20</f>
        <v>0.12103956312351444</v>
      </c>
      <c r="K17" s="311">
        <f>'20Ratios'!G20</f>
        <v>0.20836235501033759</v>
      </c>
      <c r="L17" s="311">
        <f>'20Ratios'!H20</f>
        <v>0.21089297370393159</v>
      </c>
      <c r="M17" s="311">
        <f>'20Ratios'!I20</f>
        <v>0.12754526506236527</v>
      </c>
      <c r="N17" s="55"/>
      <c r="O17" s="464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</row>
    <row r="18" spans="3:35" ht="6" customHeight="1">
      <c r="C18" s="458"/>
      <c r="D18" s="54"/>
      <c r="E18" s="851"/>
      <c r="F18" s="851"/>
      <c r="G18" s="851"/>
      <c r="H18" s="317"/>
      <c r="I18" s="275"/>
      <c r="J18" s="275"/>
      <c r="K18" s="275"/>
      <c r="L18" s="275"/>
      <c r="M18" s="274"/>
      <c r="N18" s="55"/>
      <c r="O18" s="464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</row>
    <row r="19" spans="3:35" ht="6" customHeight="1">
      <c r="C19" s="458"/>
      <c r="D19" s="54"/>
      <c r="E19" s="317"/>
      <c r="F19" s="317"/>
      <c r="G19" s="317"/>
      <c r="H19" s="317"/>
      <c r="I19" s="275"/>
      <c r="J19" s="275"/>
      <c r="K19" s="275"/>
      <c r="L19" s="275"/>
      <c r="M19" s="274"/>
      <c r="N19" s="55"/>
      <c r="O19" s="464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</row>
    <row r="20" spans="3:35" ht="20.399999999999999">
      <c r="C20" s="458"/>
      <c r="D20" s="54"/>
      <c r="E20" s="850" t="s">
        <v>217</v>
      </c>
      <c r="F20" s="850"/>
      <c r="G20" s="850"/>
      <c r="H20" s="611"/>
      <c r="I20" s="612">
        <f>I13</f>
        <v>2026</v>
      </c>
      <c r="J20" s="612">
        <f>J13</f>
        <v>2025</v>
      </c>
      <c r="K20" s="612">
        <f>K13</f>
        <v>2024</v>
      </c>
      <c r="L20" s="612">
        <f>L13</f>
        <v>2023</v>
      </c>
      <c r="M20" s="612">
        <f>M13</f>
        <v>2022</v>
      </c>
      <c r="N20" s="55"/>
      <c r="O20" s="464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</row>
    <row r="21" spans="3:35" ht="6" customHeight="1">
      <c r="C21" s="458"/>
      <c r="D21" s="54"/>
      <c r="E21" s="298"/>
      <c r="F21" s="298"/>
      <c r="G21" s="298"/>
      <c r="H21" s="298"/>
      <c r="I21" s="299"/>
      <c r="J21" s="299"/>
      <c r="K21" s="299"/>
      <c r="L21" s="299"/>
      <c r="M21" s="299"/>
      <c r="N21" s="55"/>
      <c r="O21" s="464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</row>
    <row r="22" spans="3:35" ht="19.2">
      <c r="C22" s="458"/>
      <c r="D22" s="54"/>
      <c r="E22" s="834" t="str">
        <f>'20Ratios'!D23</f>
        <v>Endeudamiento</v>
      </c>
      <c r="F22" s="834"/>
      <c r="G22" s="834"/>
      <c r="H22" s="310"/>
      <c r="I22" s="311">
        <f>'20Ratios'!E23</f>
        <v>0</v>
      </c>
      <c r="J22" s="311">
        <f>'20Ratios'!F23</f>
        <v>1.7742247911456093</v>
      </c>
      <c r="K22" s="311">
        <f>'20Ratios'!G23</f>
        <v>2.1142170271455325</v>
      </c>
      <c r="L22" s="311">
        <f>'20Ratios'!H23</f>
        <v>2.6950241632255234</v>
      </c>
      <c r="M22" s="311">
        <f>'20Ratios'!I23</f>
        <v>2.1219953650053842</v>
      </c>
      <c r="N22" s="55"/>
      <c r="O22" s="464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</row>
    <row r="23" spans="3:35" ht="19.2">
      <c r="C23" s="458"/>
      <c r="D23" s="54"/>
      <c r="E23" s="834" t="str">
        <f>'20Ratios'!D24</f>
        <v>Endeudamiento Corto Plazo</v>
      </c>
      <c r="F23" s="834"/>
      <c r="G23" s="834"/>
      <c r="H23" s="310"/>
      <c r="I23" s="311">
        <f>'20Ratios'!E24</f>
        <v>0</v>
      </c>
      <c r="J23" s="311">
        <f>'20Ratios'!F24</f>
        <v>1.2509635788501736</v>
      </c>
      <c r="K23" s="311">
        <f>'20Ratios'!G24</f>
        <v>1.2553094211979909</v>
      </c>
      <c r="L23" s="311">
        <f>'20Ratios'!H24</f>
        <v>1.9923122534191657</v>
      </c>
      <c r="M23" s="311">
        <f>'20Ratios'!I24</f>
        <v>1.7134879367738833</v>
      </c>
      <c r="N23" s="55"/>
      <c r="O23" s="464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</row>
    <row r="24" spans="3:35" ht="6" customHeight="1">
      <c r="C24" s="458"/>
      <c r="D24" s="54"/>
      <c r="E24" s="310"/>
      <c r="F24" s="310"/>
      <c r="G24" s="310"/>
      <c r="H24" s="310"/>
      <c r="I24" s="313"/>
      <c r="J24" s="313"/>
      <c r="K24" s="313"/>
      <c r="L24" s="313"/>
      <c r="M24" s="313"/>
      <c r="N24" s="55"/>
      <c r="O24" s="464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</row>
    <row r="25" spans="3:35" ht="6" customHeight="1">
      <c r="C25" s="458"/>
      <c r="D25" s="54"/>
      <c r="E25" s="274"/>
      <c r="F25" s="275"/>
      <c r="G25" s="275"/>
      <c r="H25" s="275"/>
      <c r="I25" s="275"/>
      <c r="J25" s="275"/>
      <c r="K25" s="275"/>
      <c r="L25" s="275"/>
      <c r="M25" s="274"/>
      <c r="N25" s="55"/>
      <c r="O25" s="464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</row>
    <row r="26" spans="3:35" ht="20.399999999999999">
      <c r="C26" s="458"/>
      <c r="D26" s="54"/>
      <c r="E26" s="850" t="s">
        <v>55</v>
      </c>
      <c r="F26" s="850"/>
      <c r="G26" s="850"/>
      <c r="H26" s="611"/>
      <c r="I26" s="612">
        <f>I13</f>
        <v>2026</v>
      </c>
      <c r="J26" s="612">
        <f>J13</f>
        <v>2025</v>
      </c>
      <c r="K26" s="612">
        <f>K13</f>
        <v>2024</v>
      </c>
      <c r="L26" s="612">
        <f>L13</f>
        <v>2023</v>
      </c>
      <c r="M26" s="612">
        <f>M13</f>
        <v>2022</v>
      </c>
      <c r="N26" s="55"/>
      <c r="O26" s="464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</row>
    <row r="27" spans="3:35" ht="6" customHeight="1">
      <c r="C27" s="458"/>
      <c r="D27" s="54"/>
      <c r="E27" s="308"/>
      <c r="F27" s="309"/>
      <c r="G27" s="309"/>
      <c r="H27" s="309"/>
      <c r="I27" s="309"/>
      <c r="J27" s="309"/>
      <c r="K27" s="309"/>
      <c r="L27" s="309"/>
      <c r="M27" s="308"/>
      <c r="N27" s="55"/>
      <c r="O27" s="464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</row>
    <row r="28" spans="3:35" ht="19.2">
      <c r="C28" s="458"/>
      <c r="D28" s="54"/>
      <c r="E28" s="834" t="str">
        <f>'20Ratios'!D7</f>
        <v>Rentabilidad Financiera</v>
      </c>
      <c r="F28" s="834"/>
      <c r="G28" s="834"/>
      <c r="H28" s="310"/>
      <c r="I28" s="318">
        <f>'20Ratios'!E7</f>
        <v>0</v>
      </c>
      <c r="J28" s="318">
        <f>'20Ratios'!F7</f>
        <v>0.34956122988681326</v>
      </c>
      <c r="K28" s="318">
        <f>'20Ratios'!G7</f>
        <v>0.46041503963835628</v>
      </c>
      <c r="L28" s="318">
        <f>'20Ratios'!H7</f>
        <v>0.33192430842317472</v>
      </c>
      <c r="M28" s="318">
        <f>'20Ratios'!I7</f>
        <v>0.18585750844576843</v>
      </c>
      <c r="N28" s="55"/>
      <c r="O28" s="464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</row>
    <row r="29" spans="3:35" ht="19.2">
      <c r="C29" s="458"/>
      <c r="D29" s="54"/>
      <c r="E29" s="834" t="str">
        <f>'20Ratios'!D8</f>
        <v>Rentabilidad Económica</v>
      </c>
      <c r="F29" s="834"/>
      <c r="G29" s="834"/>
      <c r="H29" s="310"/>
      <c r="I29" s="318">
        <f>'20Ratios'!E8</f>
        <v>0</v>
      </c>
      <c r="J29" s="318">
        <f>'20Ratios'!F8</f>
        <v>0.1260032103391531</v>
      </c>
      <c r="K29" s="318">
        <f>'20Ratios'!G8</f>
        <v>0.14784295237778247</v>
      </c>
      <c r="L29" s="318">
        <f>'20Ratios'!H8</f>
        <v>8.9832659787875094E-2</v>
      </c>
      <c r="M29" s="318">
        <f>'20Ratios'!I8</f>
        <v>5.9531641375594385E-2</v>
      </c>
      <c r="N29" s="55"/>
      <c r="O29" s="464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</row>
    <row r="30" spans="3:35" ht="19.2">
      <c r="C30" s="458"/>
      <c r="D30" s="54"/>
      <c r="E30" s="834" t="str">
        <f>'20Ratios'!D9</f>
        <v>Rentabilidad del Capital</v>
      </c>
      <c r="F30" s="834"/>
      <c r="G30" s="834"/>
      <c r="H30" s="310"/>
      <c r="I30" s="318">
        <f>'20Ratios'!E9</f>
        <v>0</v>
      </c>
      <c r="J30" s="318">
        <f>'20Ratios'!F9</f>
        <v>6.992995416666667</v>
      </c>
      <c r="K30" s="318">
        <f>'20Ratios'!G9</f>
        <v>5.9909529166666662</v>
      </c>
      <c r="L30" s="318">
        <f>'20Ratios'!H9</f>
        <v>2.3441199999999998</v>
      </c>
      <c r="M30" s="318">
        <f>'20Ratios'!I9</f>
        <v>0.87689291666666669</v>
      </c>
      <c r="N30" s="55"/>
      <c r="O30" s="464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</row>
    <row r="31" spans="3:35" ht="19.2">
      <c r="C31" s="458"/>
      <c r="D31" s="54"/>
      <c r="E31" s="834" t="str">
        <f>'20Ratios'!D10</f>
        <v>Rentabilidad de las Ventas</v>
      </c>
      <c r="F31" s="834"/>
      <c r="G31" s="834"/>
      <c r="H31" s="310"/>
      <c r="I31" s="318">
        <f>'20Ratios'!E10</f>
        <v>0</v>
      </c>
      <c r="J31" s="318">
        <f>'20Ratios'!F10</f>
        <v>7.6453714243195733E-2</v>
      </c>
      <c r="K31" s="318">
        <f>'20Ratios'!G10</f>
        <v>8.4176472164450677E-2</v>
      </c>
      <c r="L31" s="318">
        <f>'20Ratios'!H10</f>
        <v>5.310800791342063E-2</v>
      </c>
      <c r="M31" s="318">
        <f>'20Ratios'!I10</f>
        <v>3.9533429034398861E-2</v>
      </c>
      <c r="N31" s="55"/>
      <c r="O31" s="464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</row>
    <row r="32" spans="3:35" ht="6" customHeight="1">
      <c r="C32" s="458"/>
      <c r="D32" s="54"/>
      <c r="E32" s="849"/>
      <c r="F32" s="849"/>
      <c r="G32" s="849"/>
      <c r="H32" s="310"/>
      <c r="I32" s="275"/>
      <c r="J32" s="275"/>
      <c r="K32" s="275"/>
      <c r="L32" s="275"/>
      <c r="M32" s="274"/>
      <c r="N32" s="55"/>
      <c r="O32" s="464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</row>
    <row r="33" spans="3:35" ht="6" customHeight="1">
      <c r="C33" s="458"/>
      <c r="D33" s="54"/>
      <c r="E33" s="274"/>
      <c r="F33" s="275"/>
      <c r="G33" s="275"/>
      <c r="H33" s="275"/>
      <c r="I33" s="275"/>
      <c r="J33" s="275"/>
      <c r="K33" s="275"/>
      <c r="L33" s="275"/>
      <c r="M33" s="274"/>
      <c r="N33" s="55"/>
      <c r="O33" s="464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</row>
    <row r="34" spans="3:35" ht="20.399999999999999">
      <c r="C34" s="458"/>
      <c r="D34" s="54"/>
      <c r="E34" s="850" t="s">
        <v>216</v>
      </c>
      <c r="F34" s="850"/>
      <c r="G34" s="850"/>
      <c r="H34" s="611"/>
      <c r="I34" s="612">
        <f>I26</f>
        <v>2026</v>
      </c>
      <c r="J34" s="612">
        <f>J26</f>
        <v>2025</v>
      </c>
      <c r="K34" s="612">
        <f>K26</f>
        <v>2024</v>
      </c>
      <c r="L34" s="612">
        <f>L26</f>
        <v>2023</v>
      </c>
      <c r="M34" s="612">
        <f>M26</f>
        <v>2022</v>
      </c>
      <c r="N34" s="55"/>
      <c r="O34" s="464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</row>
    <row r="35" spans="3:35" ht="6" customHeight="1">
      <c r="C35" s="458"/>
      <c r="D35" s="54"/>
      <c r="E35" s="298"/>
      <c r="F35" s="298"/>
      <c r="G35" s="298"/>
      <c r="H35" s="298"/>
      <c r="I35" s="299"/>
      <c r="J35" s="299"/>
      <c r="K35" s="299"/>
      <c r="L35" s="299"/>
      <c r="M35" s="299"/>
      <c r="N35" s="55"/>
      <c r="O35" s="464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</row>
    <row r="36" spans="3:35" ht="19.2">
      <c r="C36" s="458"/>
      <c r="D36" s="54"/>
      <c r="E36" s="834" t="str">
        <f>'20Ratios'!D13</f>
        <v>Fondo de Maniobra</v>
      </c>
      <c r="F36" s="834"/>
      <c r="G36" s="834"/>
      <c r="H36" s="310"/>
      <c r="I36" s="285">
        <f>'20Ratios'!E13</f>
        <v>0</v>
      </c>
      <c r="J36" s="285">
        <f>'20Ratios'!F13</f>
        <v>242848.97999999998</v>
      </c>
      <c r="K36" s="285">
        <f>'20Ratios'!G13</f>
        <v>189541.10000000003</v>
      </c>
      <c r="L36" s="285">
        <f>'20Ratios'!H13</f>
        <v>142527.04999999999</v>
      </c>
      <c r="M36" s="286">
        <f>'20Ratios'!I13</f>
        <v>98343.25999999998</v>
      </c>
      <c r="N36" s="55"/>
      <c r="O36" s="464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</row>
    <row r="37" spans="3:35" ht="19.2">
      <c r="C37" s="458"/>
      <c r="D37" s="54"/>
      <c r="E37" s="834" t="str">
        <f>'20Ratios'!D14</f>
        <v>Ratio Fondo Maniobra</v>
      </c>
      <c r="F37" s="834"/>
      <c r="G37" s="834"/>
      <c r="H37" s="310"/>
      <c r="I37" s="311">
        <f>'20Ratios'!E14</f>
        <v>0</v>
      </c>
      <c r="J37" s="311">
        <f>'20Ratios'!F14</f>
        <v>0.40433412034382576</v>
      </c>
      <c r="K37" s="311">
        <f>'20Ratios'!G14</f>
        <v>0.48349831165583596</v>
      </c>
      <c r="L37" s="311">
        <f>'20Ratios'!H14</f>
        <v>0.42207328774859321</v>
      </c>
      <c r="M37" s="312">
        <f>'20Ratios'!I14</f>
        <v>0.50685747597982878</v>
      </c>
      <c r="N37" s="55"/>
      <c r="O37" s="464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</row>
    <row r="38" spans="3:35" ht="19.2">
      <c r="C38" s="458"/>
      <c r="D38" s="54"/>
      <c r="E38" s="834" t="str">
        <f>'20Ratios'!D15</f>
        <v>Ratio FdM en días</v>
      </c>
      <c r="F38" s="834"/>
      <c r="G38" s="834"/>
      <c r="H38" s="310"/>
      <c r="I38" s="319">
        <f>'20Ratios'!E15</f>
        <v>0</v>
      </c>
      <c r="J38" s="319">
        <f>'20Ratios'!F15</f>
        <v>39.825651415960095</v>
      </c>
      <c r="K38" s="319">
        <f>'20Ratios'!G15</f>
        <v>39.947487528528065</v>
      </c>
      <c r="L38" s="319">
        <f>'20Ratios'!H15</f>
        <v>48.436050837477374</v>
      </c>
      <c r="M38" s="320">
        <f>'20Ratios'!I15</f>
        <v>66.504921233717567</v>
      </c>
      <c r="N38" s="55"/>
      <c r="O38" s="464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</row>
    <row r="39" spans="3:35" ht="6" customHeight="1">
      <c r="C39" s="458"/>
      <c r="D39" s="54"/>
      <c r="E39" s="310"/>
      <c r="F39" s="310"/>
      <c r="G39" s="310"/>
      <c r="H39" s="310"/>
      <c r="I39" s="321"/>
      <c r="J39" s="321"/>
      <c r="K39" s="321"/>
      <c r="L39" s="321"/>
      <c r="M39" s="322"/>
      <c r="N39" s="55"/>
      <c r="O39" s="464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</row>
    <row r="40" spans="3:35" ht="6" customHeight="1">
      <c r="C40" s="458"/>
      <c r="D40" s="54"/>
      <c r="E40" s="274"/>
      <c r="F40" s="275"/>
      <c r="G40" s="275"/>
      <c r="H40" s="275"/>
      <c r="I40" s="275"/>
      <c r="J40" s="275"/>
      <c r="K40" s="275"/>
      <c r="L40" s="275"/>
      <c r="M40" s="274"/>
      <c r="N40" s="55"/>
      <c r="O40" s="464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</row>
    <row r="41" spans="3:35" ht="20.399999999999999">
      <c r="C41" s="458"/>
      <c r="D41" s="54"/>
      <c r="E41" s="850" t="s">
        <v>161</v>
      </c>
      <c r="F41" s="850"/>
      <c r="G41" s="850"/>
      <c r="H41" s="611"/>
      <c r="I41" s="612">
        <f>I26</f>
        <v>2026</v>
      </c>
      <c r="J41" s="612">
        <f>J26</f>
        <v>2025</v>
      </c>
      <c r="K41" s="612">
        <f>K26</f>
        <v>2024</v>
      </c>
      <c r="L41" s="612">
        <f>L26</f>
        <v>2023</v>
      </c>
      <c r="M41" s="612">
        <f>M26</f>
        <v>2022</v>
      </c>
      <c r="N41" s="55"/>
      <c r="O41" s="464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</row>
    <row r="42" spans="3:35" ht="6" customHeight="1">
      <c r="C42" s="458"/>
      <c r="D42" s="54"/>
      <c r="E42" s="308"/>
      <c r="F42" s="309"/>
      <c r="G42" s="309"/>
      <c r="H42" s="309"/>
      <c r="I42" s="309"/>
      <c r="J42" s="309"/>
      <c r="K42" s="309"/>
      <c r="L42" s="309"/>
      <c r="M42" s="308"/>
      <c r="N42" s="55"/>
      <c r="O42" s="464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</row>
    <row r="43" spans="3:35" ht="19.2">
      <c r="C43" s="458"/>
      <c r="D43" s="54"/>
      <c r="E43" s="834" t="str">
        <f>'20Ratios'!D33</f>
        <v>Rotación activo</v>
      </c>
      <c r="F43" s="834"/>
      <c r="G43" s="834"/>
      <c r="H43" s="310"/>
      <c r="I43" s="311">
        <f>'20Ratios'!E33</f>
        <v>0</v>
      </c>
      <c r="J43" s="311">
        <f>'20Ratios'!F33</f>
        <v>1.6480979581756185</v>
      </c>
      <c r="K43" s="311">
        <f>'20Ratios'!G33</f>
        <v>1.7563453133192644</v>
      </c>
      <c r="L43" s="311">
        <f>'20Ratios'!H33</f>
        <v>1.6915087444877401</v>
      </c>
      <c r="M43" s="312">
        <f>'20Ratios'!I33</f>
        <v>1.505855748657539</v>
      </c>
      <c r="N43" s="55"/>
      <c r="O43" s="464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</row>
    <row r="44" spans="3:35" ht="19.2">
      <c r="C44" s="458"/>
      <c r="D44" s="54"/>
      <c r="E44" s="834" t="str">
        <f>'20Ratios'!D34</f>
        <v>Rotación activo fijo</v>
      </c>
      <c r="F44" s="834"/>
      <c r="G44" s="834"/>
      <c r="H44" s="310"/>
      <c r="I44" s="311">
        <f>'20Ratios'!E34</f>
        <v>0</v>
      </c>
      <c r="J44" s="311">
        <f>'20Ratios'!F34</f>
        <v>4.4937603274994382</v>
      </c>
      <c r="K44" s="311">
        <f>'20Ratios'!G34</f>
        <v>4.3688354172006933</v>
      </c>
      <c r="L44" s="311">
        <f>'20Ratios'!H34</f>
        <v>7.253055075192977</v>
      </c>
      <c r="M44" s="312">
        <f>'20Ratios'!I34</f>
        <v>8.7058504630897051</v>
      </c>
      <c r="N44" s="55"/>
      <c r="O44" s="464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</row>
    <row r="45" spans="3:35" ht="19.2">
      <c r="C45" s="458"/>
      <c r="D45" s="54"/>
      <c r="E45" s="834" t="str">
        <f>'20Ratios'!D35</f>
        <v>Días cobro clientes</v>
      </c>
      <c r="F45" s="834"/>
      <c r="G45" s="834"/>
      <c r="H45" s="310"/>
      <c r="I45" s="319">
        <f>'20Ratios'!E35</f>
        <v>0</v>
      </c>
      <c r="J45" s="319">
        <f>'20Ratios'!F35</f>
        <v>86.864138241481712</v>
      </c>
      <c r="K45" s="319">
        <f>'20Ratios'!G35</f>
        <v>64.481922684792053</v>
      </c>
      <c r="L45" s="319">
        <f>'20Ratios'!H35</f>
        <v>80.704344769929051</v>
      </c>
      <c r="M45" s="319">
        <f>'20Ratios'!I35</f>
        <v>90.238303091958173</v>
      </c>
      <c r="N45" s="55"/>
      <c r="O45" s="464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</row>
    <row r="46" spans="3:35" ht="19.2">
      <c r="C46" s="458"/>
      <c r="D46" s="54"/>
      <c r="E46" s="834" t="str">
        <f>'20Ratios'!D36</f>
        <v>Días pago proveedores</v>
      </c>
      <c r="F46" s="834"/>
      <c r="G46" s="834"/>
      <c r="H46" s="310"/>
      <c r="I46" s="319">
        <f>'20Ratios'!E36</f>
        <v>0</v>
      </c>
      <c r="J46" s="319">
        <f>'20Ratios'!F36</f>
        <v>96.937586940816388</v>
      </c>
      <c r="K46" s="319">
        <f>'20Ratios'!G36</f>
        <v>58.565569142108671</v>
      </c>
      <c r="L46" s="319">
        <f>'20Ratios'!H36</f>
        <v>94.766034681410886</v>
      </c>
      <c r="M46" s="319">
        <f>'20Ratios'!I36</f>
        <v>88.595374783218887</v>
      </c>
      <c r="N46" s="55"/>
      <c r="O46" s="464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</row>
    <row r="47" spans="3:35" ht="6" customHeight="1">
      <c r="C47" s="458"/>
      <c r="D47" s="54"/>
      <c r="E47" s="849"/>
      <c r="F47" s="849"/>
      <c r="G47" s="849"/>
      <c r="H47" s="310"/>
      <c r="I47" s="275"/>
      <c r="J47" s="275"/>
      <c r="K47" s="275"/>
      <c r="L47" s="275"/>
      <c r="M47" s="274"/>
      <c r="N47" s="55"/>
      <c r="O47" s="464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</row>
    <row r="48" spans="3:35" ht="16.8">
      <c r="C48" s="458"/>
      <c r="D48" s="60"/>
      <c r="E48" s="323"/>
      <c r="F48" s="305"/>
      <c r="G48" s="305"/>
      <c r="H48" s="305"/>
      <c r="I48" s="305"/>
      <c r="J48" s="305"/>
      <c r="K48" s="305"/>
      <c r="L48" s="305"/>
      <c r="M48" s="323"/>
      <c r="N48" s="59"/>
      <c r="O48" s="464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</row>
    <row r="49" spans="3:35" ht="16.2">
      <c r="C49" s="458"/>
      <c r="D49" s="54"/>
      <c r="E49" s="56"/>
      <c r="F49" s="58"/>
      <c r="G49" s="58"/>
      <c r="H49" s="58"/>
      <c r="I49" s="58"/>
      <c r="J49" s="58"/>
      <c r="K49" s="58"/>
      <c r="L49" s="58"/>
      <c r="M49" s="56"/>
      <c r="N49" s="55"/>
      <c r="O49" s="464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</row>
    <row r="50" spans="3:35" ht="16.2">
      <c r="C50" s="458"/>
      <c r="D50" s="54"/>
      <c r="E50" s="56"/>
      <c r="F50" s="58"/>
      <c r="G50" s="58"/>
      <c r="H50" s="58"/>
      <c r="I50" s="58"/>
      <c r="J50" s="58"/>
      <c r="K50" s="58"/>
      <c r="L50" s="58"/>
      <c r="M50" s="56"/>
      <c r="N50" s="55"/>
      <c r="O50" s="464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</row>
    <row r="51" spans="3:35" ht="16.2">
      <c r="C51" s="458"/>
      <c r="D51" s="54"/>
      <c r="E51" s="56"/>
      <c r="F51" s="58"/>
      <c r="G51" s="58"/>
      <c r="H51" s="58"/>
      <c r="I51" s="58"/>
      <c r="J51" s="58"/>
      <c r="K51" s="58"/>
      <c r="L51" s="58"/>
      <c r="M51" s="56"/>
      <c r="N51" s="55"/>
      <c r="O51" s="464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</row>
    <row r="52" spans="3:35" ht="16.2">
      <c r="C52" s="458"/>
      <c r="D52" s="54"/>
      <c r="E52" s="56"/>
      <c r="F52" s="58"/>
      <c r="G52" s="58"/>
      <c r="H52" s="58"/>
      <c r="I52" s="58"/>
      <c r="J52" s="58"/>
      <c r="K52" s="58"/>
      <c r="L52" s="58"/>
      <c r="M52" s="56"/>
      <c r="N52" s="55"/>
      <c r="O52" s="464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</row>
    <row r="53" spans="3:35" ht="16.2">
      <c r="C53" s="458"/>
      <c r="D53" s="54"/>
      <c r="E53" s="56"/>
      <c r="F53" s="58"/>
      <c r="G53" s="58"/>
      <c r="H53" s="58"/>
      <c r="I53" s="58"/>
      <c r="J53" s="58"/>
      <c r="K53" s="58"/>
      <c r="L53" s="58"/>
      <c r="M53" s="56"/>
      <c r="N53" s="55"/>
      <c r="O53" s="464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</row>
    <row r="54" spans="3:35" ht="16.2">
      <c r="C54" s="458"/>
      <c r="D54" s="54"/>
      <c r="E54" s="56"/>
      <c r="F54" s="58"/>
      <c r="G54" s="58"/>
      <c r="H54" s="58"/>
      <c r="I54" s="58"/>
      <c r="J54" s="58"/>
      <c r="K54" s="58"/>
      <c r="L54" s="58"/>
      <c r="M54" s="56"/>
      <c r="N54" s="55"/>
      <c r="O54" s="464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</row>
    <row r="55" spans="3:35" ht="16.2">
      <c r="C55" s="458"/>
      <c r="D55" s="54"/>
      <c r="E55" s="56"/>
      <c r="F55" s="58"/>
      <c r="G55" s="58"/>
      <c r="H55" s="58"/>
      <c r="I55" s="58"/>
      <c r="J55" s="58"/>
      <c r="K55" s="58"/>
      <c r="L55" s="58"/>
      <c r="M55" s="56"/>
      <c r="N55" s="55"/>
      <c r="O55" s="464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</row>
    <row r="56" spans="3:35" ht="16.2">
      <c r="C56" s="458"/>
      <c r="D56" s="54"/>
      <c r="E56" s="56"/>
      <c r="F56" s="58"/>
      <c r="G56" s="58"/>
      <c r="H56" s="58"/>
      <c r="I56" s="58"/>
      <c r="J56" s="58"/>
      <c r="K56" s="58"/>
      <c r="L56" s="58"/>
      <c r="M56" s="56"/>
      <c r="N56" s="55"/>
      <c r="O56" s="464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</row>
    <row r="57" spans="3:35" ht="16.2">
      <c r="C57" s="458"/>
      <c r="D57" s="54"/>
      <c r="E57" s="56"/>
      <c r="F57" s="58"/>
      <c r="G57" s="58"/>
      <c r="H57" s="58"/>
      <c r="I57" s="58"/>
      <c r="J57" s="58"/>
      <c r="K57" s="58"/>
      <c r="L57" s="58"/>
      <c r="M57" s="56"/>
      <c r="N57" s="55"/>
      <c r="O57" s="464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</row>
    <row r="58" spans="3:35" ht="16.2">
      <c r="C58" s="458"/>
      <c r="D58" s="54"/>
      <c r="E58" s="56"/>
      <c r="F58" s="58"/>
      <c r="G58" s="58"/>
      <c r="H58" s="58"/>
      <c r="I58" s="58"/>
      <c r="J58" s="58"/>
      <c r="K58" s="58"/>
      <c r="L58" s="58"/>
      <c r="M58" s="56"/>
      <c r="N58" s="55"/>
      <c r="O58" s="464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</row>
    <row r="59" spans="3:35" ht="16.2">
      <c r="C59" s="458"/>
      <c r="D59" s="54"/>
      <c r="E59" s="56"/>
      <c r="F59" s="58"/>
      <c r="G59" s="58"/>
      <c r="H59" s="58"/>
      <c r="I59" s="58"/>
      <c r="J59" s="58"/>
      <c r="K59" s="58"/>
      <c r="L59" s="58"/>
      <c r="M59" s="56"/>
      <c r="N59" s="55"/>
      <c r="O59" s="464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</row>
    <row r="60" spans="3:35" ht="16.2">
      <c r="C60" s="458"/>
      <c r="D60" s="54"/>
      <c r="E60" s="56"/>
      <c r="F60" s="58"/>
      <c r="G60" s="58"/>
      <c r="H60" s="58"/>
      <c r="I60" s="58"/>
      <c r="J60" s="58"/>
      <c r="K60" s="58"/>
      <c r="L60" s="58"/>
      <c r="M60" s="56"/>
      <c r="N60" s="55"/>
      <c r="O60" s="464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</row>
    <row r="61" spans="3:35" ht="16.2">
      <c r="C61" s="458"/>
      <c r="D61" s="54"/>
      <c r="E61" s="56"/>
      <c r="F61" s="58"/>
      <c r="G61" s="58"/>
      <c r="H61" s="58"/>
      <c r="I61" s="58"/>
      <c r="J61" s="58"/>
      <c r="K61" s="58"/>
      <c r="L61" s="58"/>
      <c r="M61" s="56"/>
      <c r="N61" s="55"/>
      <c r="O61" s="464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</row>
    <row r="62" spans="3:35" ht="16.2">
      <c r="C62" s="458"/>
      <c r="D62" s="54"/>
      <c r="E62" s="56"/>
      <c r="F62" s="58"/>
      <c r="G62" s="58"/>
      <c r="H62" s="58"/>
      <c r="I62" s="58"/>
      <c r="J62" s="58"/>
      <c r="K62" s="58"/>
      <c r="L62" s="58"/>
      <c r="M62" s="56"/>
      <c r="N62" s="55"/>
      <c r="O62" s="464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</row>
    <row r="63" spans="3:35" ht="16.2">
      <c r="C63" s="458"/>
      <c r="D63" s="54"/>
      <c r="E63" s="56"/>
      <c r="F63" s="58"/>
      <c r="G63" s="58"/>
      <c r="H63" s="58"/>
      <c r="I63" s="58"/>
      <c r="J63" s="58"/>
      <c r="K63" s="58"/>
      <c r="L63" s="58"/>
      <c r="M63" s="56"/>
      <c r="N63" s="55"/>
      <c r="O63" s="464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</row>
    <row r="64" spans="3:35" ht="16.2">
      <c r="C64" s="458"/>
      <c r="D64" s="54"/>
      <c r="E64" s="56"/>
      <c r="F64" s="58"/>
      <c r="G64" s="58"/>
      <c r="H64" s="58"/>
      <c r="I64" s="58"/>
      <c r="J64" s="58"/>
      <c r="K64" s="58"/>
      <c r="L64" s="58"/>
      <c r="M64" s="56"/>
      <c r="N64" s="55"/>
      <c r="O64" s="464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</row>
    <row r="65" spans="3:35" ht="16.2">
      <c r="C65" s="458"/>
      <c r="D65" s="54"/>
      <c r="E65" s="56"/>
      <c r="F65" s="58"/>
      <c r="G65" s="58"/>
      <c r="H65" s="58"/>
      <c r="I65" s="58"/>
      <c r="J65" s="58"/>
      <c r="K65" s="58"/>
      <c r="L65" s="58"/>
      <c r="M65" s="56"/>
      <c r="N65" s="55"/>
      <c r="O65" s="464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</row>
    <row r="66" spans="3:35" ht="16.2">
      <c r="C66" s="458"/>
      <c r="D66" s="54"/>
      <c r="E66" s="56"/>
      <c r="F66" s="58"/>
      <c r="G66" s="58"/>
      <c r="H66" s="58"/>
      <c r="I66" s="58"/>
      <c r="J66" s="58"/>
      <c r="K66" s="58"/>
      <c r="L66" s="58"/>
      <c r="M66" s="56"/>
      <c r="N66" s="55"/>
      <c r="O66" s="464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</row>
    <row r="67" spans="3:35" ht="16.2">
      <c r="C67" s="458"/>
      <c r="D67" s="54"/>
      <c r="E67" s="56"/>
      <c r="F67" s="58"/>
      <c r="G67" s="58"/>
      <c r="H67" s="58"/>
      <c r="I67" s="58"/>
      <c r="J67" s="58"/>
      <c r="K67" s="58"/>
      <c r="L67" s="58"/>
      <c r="M67" s="56"/>
      <c r="N67" s="55"/>
      <c r="O67" s="464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</row>
    <row r="68" spans="3:35" ht="16.2">
      <c r="C68" s="458"/>
      <c r="D68" s="54"/>
      <c r="E68" s="56"/>
      <c r="F68" s="58"/>
      <c r="G68" s="58"/>
      <c r="H68" s="58"/>
      <c r="I68" s="58"/>
      <c r="J68" s="58"/>
      <c r="K68" s="58"/>
      <c r="L68" s="58"/>
      <c r="M68" s="56"/>
      <c r="N68" s="55"/>
      <c r="O68" s="464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</row>
    <row r="69" spans="3:35" ht="16.2">
      <c r="C69" s="458"/>
      <c r="D69" s="54"/>
      <c r="E69" s="56"/>
      <c r="F69" s="58"/>
      <c r="G69" s="58"/>
      <c r="H69" s="58"/>
      <c r="I69" s="58"/>
      <c r="J69" s="58"/>
      <c r="K69" s="58"/>
      <c r="L69" s="58"/>
      <c r="M69" s="56"/>
      <c r="N69" s="55"/>
      <c r="O69" s="464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</row>
    <row r="70" spans="3:35" ht="16.2">
      <c r="C70" s="458"/>
      <c r="D70" s="54"/>
      <c r="E70" s="56"/>
      <c r="F70" s="58"/>
      <c r="G70" s="58"/>
      <c r="H70" s="58"/>
      <c r="I70" s="58"/>
      <c r="J70" s="58"/>
      <c r="K70" s="58"/>
      <c r="L70" s="58"/>
      <c r="M70" s="56"/>
      <c r="N70" s="55"/>
      <c r="O70" s="464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</row>
    <row r="71" spans="3:35" ht="16.2">
      <c r="C71" s="458"/>
      <c r="D71" s="54"/>
      <c r="E71" s="56"/>
      <c r="F71" s="58"/>
      <c r="G71" s="58"/>
      <c r="H71" s="58"/>
      <c r="I71" s="58"/>
      <c r="J71" s="58"/>
      <c r="K71" s="58"/>
      <c r="L71" s="58"/>
      <c r="M71" s="56"/>
      <c r="N71" s="55"/>
      <c r="O71" s="464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</row>
    <row r="72" spans="3:35" ht="16.2">
      <c r="C72" s="458"/>
      <c r="D72" s="54"/>
      <c r="E72" s="56"/>
      <c r="F72" s="58"/>
      <c r="G72" s="58"/>
      <c r="H72" s="58"/>
      <c r="I72" s="58"/>
      <c r="J72" s="58"/>
      <c r="K72" s="58"/>
      <c r="L72" s="58"/>
      <c r="M72" s="56"/>
      <c r="N72" s="55"/>
      <c r="O72" s="464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</row>
    <row r="73" spans="3:35" ht="16.2">
      <c r="C73" s="458"/>
      <c r="D73" s="54"/>
      <c r="E73" s="56"/>
      <c r="F73" s="58"/>
      <c r="G73" s="58"/>
      <c r="H73" s="58"/>
      <c r="I73" s="58"/>
      <c r="J73" s="58"/>
      <c r="K73" s="58"/>
      <c r="L73" s="58"/>
      <c r="M73" s="56"/>
      <c r="N73" s="55"/>
      <c r="O73" s="464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</row>
    <row r="74" spans="3:35" ht="16.2">
      <c r="C74" s="458"/>
      <c r="D74" s="54"/>
      <c r="E74" s="56"/>
      <c r="F74" s="58"/>
      <c r="G74" s="58"/>
      <c r="H74" s="58"/>
      <c r="I74" s="58"/>
      <c r="J74" s="58"/>
      <c r="K74" s="58"/>
      <c r="L74" s="58"/>
      <c r="M74" s="56"/>
      <c r="N74" s="55"/>
      <c r="O74" s="464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</row>
    <row r="75" spans="3:35" ht="16.2">
      <c r="C75" s="458"/>
      <c r="D75" s="54"/>
      <c r="E75" s="56"/>
      <c r="F75" s="58"/>
      <c r="G75" s="58"/>
      <c r="H75" s="58"/>
      <c r="I75" s="58"/>
      <c r="J75" s="58"/>
      <c r="K75" s="58"/>
      <c r="L75" s="58"/>
      <c r="M75" s="56"/>
      <c r="N75" s="55"/>
      <c r="O75" s="464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</row>
    <row r="76" spans="3:35" ht="16.2">
      <c r="C76" s="458"/>
      <c r="D76" s="54"/>
      <c r="E76" s="56"/>
      <c r="F76" s="58"/>
      <c r="G76" s="58"/>
      <c r="H76" s="58"/>
      <c r="I76" s="58"/>
      <c r="J76" s="58"/>
      <c r="K76" s="58"/>
      <c r="L76" s="58"/>
      <c r="M76" s="56"/>
      <c r="N76" s="55"/>
      <c r="O76" s="464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</row>
    <row r="77" spans="3:35" ht="16.2">
      <c r="C77" s="458"/>
      <c r="D77" s="54"/>
      <c r="E77" s="56"/>
      <c r="F77" s="58"/>
      <c r="G77" s="58"/>
      <c r="H77" s="58"/>
      <c r="I77" s="58"/>
      <c r="J77" s="58"/>
      <c r="K77" s="58"/>
      <c r="L77" s="58"/>
      <c r="M77" s="56"/>
      <c r="N77" s="55"/>
      <c r="O77" s="464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</row>
    <row r="78" spans="3:35" ht="16.2">
      <c r="C78" s="458"/>
      <c r="D78" s="54"/>
      <c r="E78" s="56"/>
      <c r="F78" s="58"/>
      <c r="G78" s="58"/>
      <c r="H78" s="58"/>
      <c r="I78" s="58"/>
      <c r="J78" s="58"/>
      <c r="K78" s="58"/>
      <c r="L78" s="58"/>
      <c r="M78" s="56"/>
      <c r="N78" s="55"/>
      <c r="O78" s="464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</row>
    <row r="79" spans="3:35" ht="16.2">
      <c r="C79" s="458"/>
      <c r="D79" s="54"/>
      <c r="E79" s="56"/>
      <c r="F79" s="58"/>
      <c r="G79" s="58"/>
      <c r="H79" s="58"/>
      <c r="I79" s="58"/>
      <c r="J79" s="58"/>
      <c r="K79" s="58"/>
      <c r="L79" s="58"/>
      <c r="M79" s="56"/>
      <c r="N79" s="55"/>
      <c r="O79" s="464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</row>
    <row r="80" spans="3:35" ht="16.2">
      <c r="C80" s="458"/>
      <c r="D80" s="54"/>
      <c r="E80" s="56"/>
      <c r="F80" s="58"/>
      <c r="G80" s="58"/>
      <c r="H80" s="58"/>
      <c r="I80" s="58"/>
      <c r="J80" s="58"/>
      <c r="K80" s="58"/>
      <c r="L80" s="58"/>
      <c r="M80" s="56"/>
      <c r="N80" s="55"/>
      <c r="O80" s="464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</row>
    <row r="81" spans="3:35" ht="16.2">
      <c r="C81" s="458"/>
      <c r="D81" s="54"/>
      <c r="E81" s="56"/>
      <c r="F81" s="58"/>
      <c r="G81" s="58"/>
      <c r="H81" s="58"/>
      <c r="I81" s="58"/>
      <c r="J81" s="58"/>
      <c r="K81" s="58"/>
      <c r="L81" s="58"/>
      <c r="M81" s="56"/>
      <c r="N81" s="55"/>
      <c r="O81" s="464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</row>
    <row r="82" spans="3:35" ht="16.2">
      <c r="C82" s="458"/>
      <c r="D82" s="54"/>
      <c r="E82" s="56"/>
      <c r="F82" s="58"/>
      <c r="G82" s="58"/>
      <c r="H82" s="58"/>
      <c r="I82" s="58"/>
      <c r="J82" s="58"/>
      <c r="K82" s="58"/>
      <c r="L82" s="58"/>
      <c r="M82" s="56"/>
      <c r="N82" s="55"/>
      <c r="O82" s="464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</row>
    <row r="83" spans="3:35" ht="16.2">
      <c r="C83" s="458"/>
      <c r="D83" s="54"/>
      <c r="E83" s="56"/>
      <c r="F83" s="58"/>
      <c r="G83" s="58"/>
      <c r="H83" s="58"/>
      <c r="I83" s="58"/>
      <c r="J83" s="58"/>
      <c r="K83" s="58"/>
      <c r="L83" s="58"/>
      <c r="M83" s="56"/>
      <c r="N83" s="55"/>
      <c r="O83" s="464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</row>
    <row r="84" spans="3:35" ht="16.2">
      <c r="C84" s="458"/>
      <c r="D84" s="54"/>
      <c r="E84" s="56"/>
      <c r="F84" s="58"/>
      <c r="G84" s="58"/>
      <c r="H84" s="58"/>
      <c r="I84" s="58"/>
      <c r="J84" s="58"/>
      <c r="K84" s="58"/>
      <c r="L84" s="58"/>
      <c r="M84" s="56"/>
      <c r="N84" s="55"/>
      <c r="O84" s="464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</row>
    <row r="85" spans="3:35" ht="16.2">
      <c r="C85" s="458"/>
      <c r="D85" s="54"/>
      <c r="E85" s="56"/>
      <c r="F85" s="58"/>
      <c r="G85" s="58"/>
      <c r="H85" s="58"/>
      <c r="I85" s="58"/>
      <c r="J85" s="58"/>
      <c r="K85" s="58"/>
      <c r="L85" s="58"/>
      <c r="M85" s="56"/>
      <c r="N85" s="55"/>
      <c r="O85" s="464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</row>
    <row r="86" spans="3:35" ht="16.2">
      <c r="C86" s="458"/>
      <c r="D86" s="54"/>
      <c r="E86" s="56"/>
      <c r="F86" s="58"/>
      <c r="G86" s="58"/>
      <c r="H86" s="58"/>
      <c r="I86" s="58"/>
      <c r="J86" s="58"/>
      <c r="K86" s="58"/>
      <c r="L86" s="58"/>
      <c r="M86" s="56"/>
      <c r="N86" s="55"/>
      <c r="O86" s="464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</row>
    <row r="87" spans="3:35" ht="16.2">
      <c r="C87" s="458"/>
      <c r="D87" s="54"/>
      <c r="E87" s="56"/>
      <c r="F87" s="58"/>
      <c r="G87" s="58"/>
      <c r="H87" s="58"/>
      <c r="I87" s="58"/>
      <c r="J87" s="58"/>
      <c r="K87" s="58"/>
      <c r="L87" s="58"/>
      <c r="M87" s="56"/>
      <c r="N87" s="55"/>
      <c r="O87" s="464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</row>
    <row r="88" spans="3:35" ht="16.2">
      <c r="C88" s="458"/>
      <c r="D88" s="54"/>
      <c r="E88" s="56"/>
      <c r="F88" s="58"/>
      <c r="G88" s="58"/>
      <c r="H88" s="58"/>
      <c r="I88" s="58"/>
      <c r="J88" s="58"/>
      <c r="K88" s="58"/>
      <c r="L88" s="58"/>
      <c r="M88" s="56"/>
      <c r="N88" s="55"/>
      <c r="O88" s="464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</row>
    <row r="89" spans="3:35" ht="16.2">
      <c r="C89" s="458"/>
      <c r="D89" s="54"/>
      <c r="E89" s="56"/>
      <c r="F89" s="58"/>
      <c r="G89" s="58"/>
      <c r="H89" s="58"/>
      <c r="I89" s="58"/>
      <c r="J89" s="58"/>
      <c r="K89" s="58"/>
      <c r="L89" s="58"/>
      <c r="M89" s="56"/>
      <c r="N89" s="55"/>
      <c r="O89" s="464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</row>
    <row r="90" spans="3:35" ht="16.2">
      <c r="C90" s="458"/>
      <c r="D90" s="60"/>
      <c r="E90" s="61"/>
      <c r="F90" s="61"/>
      <c r="G90" s="61"/>
      <c r="H90" s="61"/>
      <c r="I90" s="61"/>
      <c r="J90" s="61"/>
      <c r="K90" s="61"/>
      <c r="L90" s="61"/>
      <c r="M90" s="61"/>
      <c r="N90" s="59"/>
      <c r="O90" s="464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</row>
    <row r="91" spans="3:35">
      <c r="C91" s="459"/>
      <c r="D91" s="454"/>
      <c r="E91" s="454"/>
      <c r="F91" s="454"/>
      <c r="G91" s="454"/>
      <c r="H91" s="454"/>
      <c r="I91" s="454"/>
      <c r="J91" s="454"/>
      <c r="K91" s="454"/>
      <c r="L91" s="454"/>
      <c r="M91" s="454"/>
      <c r="N91" s="454"/>
      <c r="O91" s="453"/>
    </row>
    <row r="92" spans="3:35"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</row>
    <row r="93" spans="3:35"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</row>
    <row r="94" spans="3:35"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</row>
    <row r="195" spans="5:11">
      <c r="E195" s="23"/>
      <c r="F195" s="23"/>
      <c r="G195" s="23"/>
      <c r="H195" s="23"/>
      <c r="I195" s="23"/>
      <c r="J195" s="23"/>
      <c r="K195" s="23"/>
    </row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</sheetData>
  <sheetProtection sheet="1" objects="1" scenarios="1"/>
  <mergeCells count="32">
    <mergeCell ref="D2:J2"/>
    <mergeCell ref="I4:M4"/>
    <mergeCell ref="E4:G4"/>
    <mergeCell ref="E17:G17"/>
    <mergeCell ref="E6:G6"/>
    <mergeCell ref="E8:G8"/>
    <mergeCell ref="E9:G9"/>
    <mergeCell ref="E15:G15"/>
    <mergeCell ref="E16:G16"/>
    <mergeCell ref="E12:G12"/>
    <mergeCell ref="E13:G13"/>
    <mergeCell ref="E10:G10"/>
    <mergeCell ref="E20:G20"/>
    <mergeCell ref="E26:G26"/>
    <mergeCell ref="E28:G28"/>
    <mergeCell ref="E18:G18"/>
    <mergeCell ref="E30:G30"/>
    <mergeCell ref="E23:G23"/>
    <mergeCell ref="E46:G46"/>
    <mergeCell ref="E47:G47"/>
    <mergeCell ref="E22:G22"/>
    <mergeCell ref="E31:G31"/>
    <mergeCell ref="E41:G41"/>
    <mergeCell ref="E43:G43"/>
    <mergeCell ref="E44:G44"/>
    <mergeCell ref="E45:G45"/>
    <mergeCell ref="E37:G37"/>
    <mergeCell ref="E38:G38"/>
    <mergeCell ref="E34:G34"/>
    <mergeCell ref="E36:G36"/>
    <mergeCell ref="E29:G29"/>
    <mergeCell ref="E32:G32"/>
  </mergeCells>
  <phoneticPr fontId="3" type="noConversion"/>
  <printOptions horizontalCentered="1" verticalCentered="1"/>
  <pageMargins left="0" right="0" top="0" bottom="0" header="0" footer="0"/>
  <pageSetup paperSize="9" scale="69" orientation="landscape" horizontalDpi="4294967292" r:id="rId1"/>
  <headerFooter alignWithMargins="0"/>
  <rowBreaks count="1" manualBreakCount="1">
    <brk id="48" min="3" max="12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8"/>
  </sheetPr>
  <dimension ref="C1:L57"/>
  <sheetViews>
    <sheetView showGridLines="0" showRowColHeaders="0" showZeros="0" showOutlineSymbols="0" topLeftCell="B1" workbookViewId="0">
      <pane xSplit="48" ySplit="172" topLeftCell="AX263" activePane="bottomRight" state="frozen"/>
      <selection activeCell="B31" sqref="B31"/>
      <selection pane="topRight" activeCell="AW31" sqref="AW31"/>
      <selection pane="bottomLeft" activeCell="B173" sqref="B173"/>
      <selection pane="bottomRight" activeCell="G30" sqref="G30"/>
    </sheetView>
  </sheetViews>
  <sheetFormatPr baseColWidth="10" defaultRowHeight="13.2"/>
  <cols>
    <col min="1" max="1" width="0" hidden="1" customWidth="1"/>
    <col min="2" max="2" width="5.6640625" customWidth="1"/>
    <col min="4" max="4" width="18.88671875" customWidth="1"/>
    <col min="6" max="6" width="19.33203125" customWidth="1"/>
    <col min="8" max="8" width="17.109375" customWidth="1"/>
  </cols>
  <sheetData>
    <row r="1" spans="3:10" hidden="1"/>
    <row r="2" spans="3:10" hidden="1">
      <c r="C2" t="s">
        <v>219</v>
      </c>
    </row>
    <row r="3" spans="3:10" hidden="1"/>
    <row r="4" spans="3:10" hidden="1">
      <c r="J4" s="2" t="s">
        <v>166</v>
      </c>
    </row>
    <row r="5" spans="3:10" hidden="1">
      <c r="D5" s="2" t="s">
        <v>24</v>
      </c>
      <c r="F5" s="2" t="s">
        <v>25</v>
      </c>
      <c r="H5" s="2" t="s">
        <v>30</v>
      </c>
      <c r="J5" s="40">
        <f>+INICIO!K5</f>
        <v>2026</v>
      </c>
    </row>
    <row r="6" spans="3:10" hidden="1">
      <c r="D6" t="s">
        <v>33</v>
      </c>
      <c r="F6" t="s">
        <v>14</v>
      </c>
      <c r="H6" t="s">
        <v>23</v>
      </c>
      <c r="J6" s="40">
        <f>+DATOS!I6</f>
        <v>2025</v>
      </c>
    </row>
    <row r="7" spans="3:10" hidden="1">
      <c r="D7" t="s">
        <v>67</v>
      </c>
      <c r="F7" t="s">
        <v>47</v>
      </c>
      <c r="H7" t="s">
        <v>52</v>
      </c>
      <c r="J7" s="40">
        <f>+DATOS!J6</f>
        <v>2024</v>
      </c>
    </row>
    <row r="8" spans="3:10" hidden="1">
      <c r="D8" t="s">
        <v>34</v>
      </c>
      <c r="F8" t="s">
        <v>48</v>
      </c>
      <c r="H8" t="s">
        <v>29</v>
      </c>
      <c r="J8" s="40">
        <f>+DATOS!K6</f>
        <v>2023</v>
      </c>
    </row>
    <row r="9" spans="3:10" hidden="1">
      <c r="F9" t="s">
        <v>68</v>
      </c>
      <c r="J9" s="40">
        <f>+DATOS!L6</f>
        <v>2022</v>
      </c>
    </row>
    <row r="10" spans="3:10" hidden="1">
      <c r="F10" t="s">
        <v>35</v>
      </c>
      <c r="J10" s="40"/>
    </row>
    <row r="11" spans="3:10" hidden="1">
      <c r="F11" t="s">
        <v>36</v>
      </c>
    </row>
    <row r="12" spans="3:10" hidden="1"/>
    <row r="13" spans="3:10" hidden="1"/>
    <row r="14" spans="3:10" hidden="1"/>
    <row r="15" spans="3:10" hidden="1"/>
    <row r="16" spans="3:10" hidden="1"/>
    <row r="17" spans="3:12" hidden="1">
      <c r="D17" s="2" t="s">
        <v>31</v>
      </c>
      <c r="F17" s="2" t="s">
        <v>32</v>
      </c>
    </row>
    <row r="18" spans="3:12" hidden="1">
      <c r="D18" t="s">
        <v>37</v>
      </c>
      <c r="F18" t="s">
        <v>37</v>
      </c>
      <c r="H18" s="42">
        <f ca="1">+TODAY()</f>
        <v>46091</v>
      </c>
    </row>
    <row r="19" spans="3:12" hidden="1">
      <c r="D19" t="s">
        <v>70</v>
      </c>
      <c r="F19" t="s">
        <v>69</v>
      </c>
    </row>
    <row r="20" spans="3:12" hidden="1">
      <c r="D20" t="s">
        <v>201</v>
      </c>
      <c r="F20" t="s">
        <v>239</v>
      </c>
    </row>
    <row r="21" spans="3:12" hidden="1">
      <c r="D21" t="s">
        <v>49</v>
      </c>
      <c r="F21" t="s">
        <v>38</v>
      </c>
    </row>
    <row r="22" spans="3:12" hidden="1">
      <c r="D22" t="s">
        <v>238</v>
      </c>
    </row>
    <row r="23" spans="3:12" hidden="1">
      <c r="D23" t="s">
        <v>35</v>
      </c>
      <c r="J23" s="41"/>
    </row>
    <row r="24" spans="3:12" hidden="1">
      <c r="J24" s="41"/>
    </row>
    <row r="25" spans="3:12" hidden="1">
      <c r="J25" s="41"/>
    </row>
    <row r="26" spans="3:12">
      <c r="J26" s="41"/>
    </row>
    <row r="27" spans="3:12">
      <c r="C27" s="41"/>
      <c r="D27" s="41"/>
      <c r="E27" s="41"/>
      <c r="J27" s="41"/>
      <c r="K27" s="41"/>
      <c r="L27" s="41"/>
    </row>
    <row r="28" spans="3:12">
      <c r="C28" s="41"/>
      <c r="D28" s="41"/>
      <c r="E28" s="41"/>
      <c r="J28" s="41"/>
      <c r="K28" s="41"/>
      <c r="L28" s="41"/>
    </row>
    <row r="29" spans="3:12">
      <c r="C29" s="41"/>
      <c r="D29" s="41"/>
      <c r="E29" s="41"/>
      <c r="J29" s="41"/>
      <c r="K29" s="41"/>
      <c r="L29" s="41"/>
    </row>
    <row r="30" spans="3:12">
      <c r="C30" s="41"/>
      <c r="D30" s="41"/>
      <c r="E30" s="41"/>
      <c r="J30" s="41"/>
      <c r="K30" s="41"/>
      <c r="L30" s="41"/>
    </row>
    <row r="31" spans="3:12">
      <c r="C31" s="41"/>
      <c r="D31" s="41"/>
      <c r="E31" s="41"/>
      <c r="J31" s="41"/>
      <c r="K31" s="41"/>
      <c r="L31" s="41"/>
    </row>
    <row r="32" spans="3:12">
      <c r="C32" s="41"/>
      <c r="D32" s="41"/>
      <c r="E32" s="41"/>
      <c r="J32" s="41"/>
      <c r="K32" s="41"/>
      <c r="L32" s="41"/>
    </row>
    <row r="33" spans="3:12">
      <c r="C33" s="41"/>
      <c r="D33" s="41"/>
      <c r="E33" s="41"/>
      <c r="F33" s="41"/>
      <c r="G33" s="41"/>
      <c r="H33" s="41"/>
      <c r="I33" s="41"/>
      <c r="J33" s="41"/>
      <c r="K33" s="41"/>
      <c r="L33" s="41"/>
    </row>
    <row r="34" spans="3:12">
      <c r="C34" s="41"/>
      <c r="D34" s="41"/>
      <c r="E34" s="41"/>
      <c r="F34" s="41"/>
      <c r="G34" s="41"/>
      <c r="H34" s="41"/>
      <c r="I34" s="41"/>
      <c r="J34" s="41"/>
      <c r="K34" s="41"/>
      <c r="L34" s="41"/>
    </row>
    <row r="35" spans="3:12">
      <c r="C35" s="41"/>
      <c r="D35" s="41"/>
      <c r="E35" s="41"/>
      <c r="J35" s="41"/>
      <c r="K35" s="41"/>
      <c r="L35" s="41"/>
    </row>
    <row r="36" spans="3:12">
      <c r="C36" s="41"/>
      <c r="D36" s="41"/>
      <c r="E36" s="41"/>
      <c r="J36" s="41"/>
      <c r="K36" s="41"/>
      <c r="L36" s="41"/>
    </row>
    <row r="37" spans="3:12">
      <c r="C37" s="41"/>
      <c r="D37" s="41"/>
      <c r="E37" s="41"/>
      <c r="J37" s="41"/>
      <c r="K37" s="41"/>
      <c r="L37" s="41"/>
    </row>
    <row r="38" spans="3:12">
      <c r="C38" s="41"/>
      <c r="D38" s="41"/>
      <c r="E38" s="41"/>
      <c r="J38" s="41"/>
      <c r="K38" s="41"/>
      <c r="L38" s="41"/>
    </row>
    <row r="39" spans="3:12">
      <c r="C39" s="41"/>
      <c r="D39" s="41"/>
      <c r="E39" s="41"/>
      <c r="H39" s="63">
        <f ca="1">+YEAR(H18)</f>
        <v>2026</v>
      </c>
      <c r="J39" s="41"/>
      <c r="K39" s="41"/>
      <c r="L39" s="41"/>
    </row>
    <row r="40" spans="3:12">
      <c r="C40" s="41"/>
      <c r="D40" s="41"/>
      <c r="E40" s="41"/>
      <c r="J40" s="41"/>
      <c r="K40" s="41"/>
      <c r="L40" s="41"/>
    </row>
    <row r="41" spans="3:12">
      <c r="C41" s="41"/>
      <c r="D41" s="41"/>
      <c r="E41" s="41"/>
      <c r="J41" s="41"/>
      <c r="K41" s="41"/>
      <c r="L41" s="41"/>
    </row>
    <row r="42" spans="3:12">
      <c r="C42" s="41"/>
      <c r="D42" s="41"/>
      <c r="E42" s="41"/>
      <c r="J42" s="41"/>
      <c r="K42" s="41"/>
      <c r="L42" s="41"/>
    </row>
    <row r="43" spans="3:12">
      <c r="C43" s="41"/>
      <c r="D43" s="41"/>
      <c r="E43" s="41"/>
      <c r="J43" s="41"/>
      <c r="K43" s="41"/>
      <c r="L43" s="41"/>
    </row>
    <row r="44" spans="3:12">
      <c r="C44" s="41"/>
      <c r="D44" s="41"/>
      <c r="E44" s="41"/>
      <c r="J44" s="41"/>
      <c r="K44" s="41"/>
      <c r="L44" s="41"/>
    </row>
    <row r="45" spans="3:12">
      <c r="C45" s="41"/>
      <c r="D45" s="41"/>
      <c r="E45" s="41"/>
      <c r="J45" s="41"/>
      <c r="K45" s="41"/>
      <c r="L45" s="41"/>
    </row>
    <row r="46" spans="3:12">
      <c r="C46" s="41"/>
      <c r="D46" s="41"/>
      <c r="E46" s="41"/>
      <c r="F46" s="854"/>
      <c r="G46" s="854"/>
      <c r="H46" s="854"/>
      <c r="I46" s="854"/>
      <c r="J46" s="41"/>
      <c r="K46" s="41"/>
      <c r="L46" s="41"/>
    </row>
    <row r="47" spans="3:12">
      <c r="C47" s="41"/>
      <c r="D47" s="41"/>
      <c r="E47" s="41"/>
      <c r="J47" s="41"/>
      <c r="K47" s="41"/>
      <c r="L47" s="41"/>
    </row>
    <row r="48" spans="3:12">
      <c r="C48" s="41"/>
      <c r="D48" s="41"/>
      <c r="E48" s="41"/>
      <c r="J48" s="41"/>
      <c r="K48" s="41"/>
      <c r="L48" s="41"/>
    </row>
    <row r="49" spans="3:12">
      <c r="C49" s="41"/>
      <c r="D49" s="41"/>
      <c r="E49" s="41"/>
      <c r="J49" s="41"/>
      <c r="K49" s="41"/>
      <c r="L49" s="41"/>
    </row>
    <row r="50" spans="3:12">
      <c r="C50" s="41"/>
      <c r="D50" s="41"/>
      <c r="E50" s="41"/>
      <c r="F50" s="41"/>
      <c r="G50" s="41"/>
      <c r="H50" s="41"/>
      <c r="I50" s="41"/>
      <c r="J50" s="41"/>
      <c r="K50" s="41"/>
      <c r="L50" s="41"/>
    </row>
    <row r="51" spans="3:12">
      <c r="C51" s="41"/>
      <c r="D51" s="41"/>
      <c r="E51" s="41"/>
      <c r="F51" s="41"/>
      <c r="G51" s="41"/>
      <c r="H51" s="41"/>
      <c r="I51" s="41"/>
      <c r="J51" s="41"/>
      <c r="K51" s="41"/>
      <c r="L51" s="41"/>
    </row>
    <row r="52" spans="3:12">
      <c r="C52" s="41"/>
      <c r="D52" s="41"/>
      <c r="E52" s="41"/>
      <c r="F52" s="41"/>
      <c r="G52" s="41"/>
      <c r="H52" s="41"/>
      <c r="I52" s="41"/>
      <c r="K52" s="41"/>
      <c r="L52" s="41"/>
    </row>
    <row r="53" spans="3:12">
      <c r="C53" s="41"/>
      <c r="D53" s="41"/>
      <c r="E53" s="41"/>
      <c r="F53" s="41"/>
      <c r="G53" s="41"/>
      <c r="H53" s="41"/>
      <c r="I53" s="41"/>
      <c r="K53" s="41"/>
      <c r="L53" s="41"/>
    </row>
    <row r="54" spans="3:12">
      <c r="C54" s="41"/>
      <c r="D54" s="41"/>
      <c r="E54" s="41"/>
      <c r="F54" s="41"/>
      <c r="G54" s="41"/>
      <c r="H54" s="41"/>
      <c r="I54" s="41"/>
      <c r="K54" s="41"/>
      <c r="L54" s="41"/>
    </row>
    <row r="55" spans="3:12">
      <c r="C55" s="41"/>
      <c r="D55" s="41"/>
      <c r="E55" s="41"/>
      <c r="F55" s="41"/>
      <c r="G55" s="41"/>
      <c r="H55" s="41"/>
      <c r="I55" s="41"/>
      <c r="K55" s="41"/>
      <c r="L55" s="41"/>
    </row>
    <row r="56" spans="3:12">
      <c r="C56" s="41"/>
      <c r="D56" s="41"/>
      <c r="E56" s="41"/>
    </row>
    <row r="57" spans="3:12">
      <c r="C57" s="41"/>
      <c r="D57" s="41"/>
      <c r="E57" s="41"/>
    </row>
  </sheetData>
  <sheetProtection password="BBA9" sheet="1" objects="1" scenarios="1"/>
  <mergeCells count="1">
    <mergeCell ref="F46:I46"/>
  </mergeCells>
  <phoneticPr fontId="3" type="noConversion"/>
  <pageMargins left="0.75" right="0.75" top="1" bottom="1" header="0" footer="0"/>
  <pageSetup paperSize="9" orientation="portrait" horizontalDpi="4294967292" verticalDpi="0" r:id="rId1"/>
  <headerFooter alignWithMargins="0"/>
  <drawing r:id="rId2"/>
  <tableParts count="6"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39</vt:i4>
      </vt:variant>
    </vt:vector>
  </HeadingPairs>
  <TitlesOfParts>
    <vt:vector size="47" baseType="lpstr">
      <vt:lpstr>INICIO</vt:lpstr>
      <vt:lpstr>DATOS</vt:lpstr>
      <vt:lpstr>Calc1</vt:lpstr>
      <vt:lpstr>Análisis</vt:lpstr>
      <vt:lpstr>20Ratios</vt:lpstr>
      <vt:lpstr>R1</vt:lpstr>
      <vt:lpstr>R2</vt:lpstr>
      <vt:lpstr>SB</vt:lpstr>
      <vt:lpstr>ACTIVIDAD</vt:lpstr>
      <vt:lpstr>ACTIVOr1</vt:lpstr>
      <vt:lpstr>analisisbalances</vt:lpstr>
      <vt:lpstr>añobalance</vt:lpstr>
      <vt:lpstr>'20Ratios'!Área_de_impresión</vt:lpstr>
      <vt:lpstr>Análisis!Área_de_impresión</vt:lpstr>
      <vt:lpstr>DATOS!Área_de_impresión</vt:lpstr>
      <vt:lpstr>INICIO!Área_de_impresión</vt:lpstr>
      <vt:lpstr>'R2'!Área_de_impresión</vt:lpstr>
      <vt:lpstr>arribaa2</vt:lpstr>
      <vt:lpstr>ARRIBAAR</vt:lpstr>
      <vt:lpstr>arribaDATOS</vt:lpstr>
      <vt:lpstr>arribaR1</vt:lpstr>
      <vt:lpstr>arribaR2</vt:lpstr>
      <vt:lpstr>balance</vt:lpstr>
      <vt:lpstr>balances</vt:lpstr>
      <vt:lpstr>circulante</vt:lpstr>
      <vt:lpstr>datosbalances</vt:lpstr>
      <vt:lpstr>FLUJOSCAJA</vt:lpstr>
      <vt:lpstr>fondomaniobra</vt:lpstr>
      <vt:lpstr>GARANTIA</vt:lpstr>
      <vt:lpstr>info1</vt:lpstr>
      <vt:lpstr>info1a</vt:lpstr>
      <vt:lpstr>iniciohoja</vt:lpstr>
      <vt:lpstr>inmovilizado</vt:lpstr>
      <vt:lpstr>liquidez</vt:lpstr>
      <vt:lpstr>nota</vt:lpstr>
      <vt:lpstr>objetivosab</vt:lpstr>
      <vt:lpstr>otrosdatos</vt:lpstr>
      <vt:lpstr>pasivocorriente</vt:lpstr>
      <vt:lpstr>pasivonocorriente</vt:lpstr>
      <vt:lpstr>PASIVONONCURRENT</vt:lpstr>
      <vt:lpstr>patrimonion</vt:lpstr>
      <vt:lpstr>productividad</vt:lpstr>
      <vt:lpstr>PUBLICIDAD1</vt:lpstr>
      <vt:lpstr>RENTABILIDAD</vt:lpstr>
      <vt:lpstr>rotations</vt:lpstr>
      <vt:lpstr>solvencia</vt:lpstr>
      <vt:lpstr>versionlibre</vt:lpstr>
    </vt:vector>
  </TitlesOfParts>
  <Company>e.ditor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Análisis financiero Express</dc:title>
  <dc:subject/>
  <dc:creator>e.ditor consulting y sus autores</dc:creator>
  <cp:lastModifiedBy>Jaume Pardo</cp:lastModifiedBy>
  <cp:lastPrinted>2026-03-10T12:05:36Z</cp:lastPrinted>
  <dcterms:created xsi:type="dcterms:W3CDTF">2007-10-12T15:08:44Z</dcterms:created>
  <dcterms:modified xsi:type="dcterms:W3CDTF">2026-03-10T21:51:04Z</dcterms:modified>
</cp:coreProperties>
</file>